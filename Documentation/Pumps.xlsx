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dmin\Lytrose\repos\Pump-Master-Pro\Documentation\"/>
    </mc:Choice>
  </mc:AlternateContent>
  <xr:revisionPtr revIDLastSave="0" documentId="13_ncr:1_{12BC83A6-DCDD-4FA4-99D0-260B57B685B2}" xr6:coauthVersionLast="47" xr6:coauthVersionMax="47" xr10:uidLastSave="{00000000-0000-0000-0000-000000000000}"/>
  <bookViews>
    <workbookView xWindow="-108" yWindow="-108" windowWidth="23256" windowHeight="12576" activeTab="1" xr2:uid="{C6B53D70-2F2D-478D-9281-D5E674D4F2A8}"/>
  </bookViews>
  <sheets>
    <sheet name="Sheet1" sheetId="1" r:id="rId1"/>
    <sheet name="PumpOG" sheetId="2" r:id="rId2"/>
    <sheet name="Sheet3" sheetId="3" r:id="rId3"/>
  </sheets>
  <externalReferences>
    <externalReference r:id="rId4"/>
  </externalReferences>
  <definedNames>
    <definedName name="curve_raw_tables">Sheet1!$BY:$BY</definedName>
    <definedName name="M_Flow">PumpOG!$CG:$CG</definedName>
    <definedName name="M_head">PumpOG!$CE:$CE</definedName>
    <definedName name="M_KW">PumpOG!$CF:$CF</definedName>
    <definedName name="M_NP">PumpOG!$CI:$CI</definedName>
    <definedName name="model_number">Sheet1!$E:$E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4" i="1"/>
  <c r="BT13" i="1"/>
  <c r="E155" i="1"/>
  <c r="E156" i="1"/>
  <c r="E157" i="1"/>
  <c r="E158" i="1"/>
  <c r="E159" i="1"/>
  <c r="E160" i="1"/>
  <c r="E161" i="1"/>
  <c r="E16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14" i="1"/>
  <c r="E15" i="1"/>
  <c r="E16" i="1"/>
  <c r="E17" i="1"/>
  <c r="E13" i="1"/>
  <c r="F13" i="1"/>
  <c r="G13" i="1"/>
  <c r="H13" i="1"/>
  <c r="L13" i="1"/>
  <c r="AQ13" i="1"/>
  <c r="AU13" i="1"/>
  <c r="CH2" i="2"/>
  <c r="BY43" i="1" a="1"/>
  <c r="BY47" i="1" a="1"/>
  <c r="BY51" i="1" a="1"/>
  <c r="BY55" i="1" a="1"/>
  <c r="BY59" i="1" a="1"/>
  <c r="BY63" i="1" a="1"/>
  <c r="BY67" i="1" a="1"/>
  <c r="BY71" i="1" a="1"/>
  <c r="BY75" i="1" a="1"/>
  <c r="BY79" i="1" a="1"/>
  <c r="BY83" i="1" a="1"/>
  <c r="BY87" i="1" a="1"/>
  <c r="BY91" i="1" a="1"/>
  <c r="BY95" i="1" a="1"/>
  <c r="BY99" i="1" a="1"/>
  <c r="BY103" i="1" a="1"/>
  <c r="BY107" i="1" a="1"/>
  <c r="BY111" i="1" a="1"/>
  <c r="BY115" i="1" a="1"/>
  <c r="BY119" i="1" a="1"/>
  <c r="BY123" i="1" a="1"/>
  <c r="BY127" i="1" a="1"/>
  <c r="BY131" i="1" a="1"/>
  <c r="BY135" i="1" a="1"/>
  <c r="BY139" i="1" a="1"/>
  <c r="BY143" i="1" a="1"/>
  <c r="BY147" i="1" a="1"/>
  <c r="BY151" i="1" a="1"/>
  <c r="BY155" i="1" a="1"/>
  <c r="BY159" i="1" a="1"/>
  <c r="BY48" i="1" a="1"/>
  <c r="BY72" i="1" a="1"/>
  <c r="BY84" i="1" a="1"/>
  <c r="BY92" i="1" a="1"/>
  <c r="BY100" i="1" a="1"/>
  <c r="BY112" i="1" a="1"/>
  <c r="BY120" i="1" a="1"/>
  <c r="BY128" i="1" a="1"/>
  <c r="BY132" i="1" a="1"/>
  <c r="BY140" i="1" a="1"/>
  <c r="BY148" i="1" a="1"/>
  <c r="BY156" i="1" a="1"/>
  <c r="BY160" i="1" a="1"/>
  <c r="BY44" i="1" a="1"/>
  <c r="BY52" i="1" a="1"/>
  <c r="BY56" i="1" a="1"/>
  <c r="BY60" i="1" a="1"/>
  <c r="BY64" i="1" a="1"/>
  <c r="BY68" i="1" a="1"/>
  <c r="BY76" i="1" a="1"/>
  <c r="BY80" i="1" a="1"/>
  <c r="BY88" i="1" a="1"/>
  <c r="BY96" i="1" a="1"/>
  <c r="BY104" i="1" a="1"/>
  <c r="BY108" i="1" a="1"/>
  <c r="BY116" i="1" a="1"/>
  <c r="BY124" i="1" a="1"/>
  <c r="BY136" i="1" a="1"/>
  <c r="BY144" i="1" a="1"/>
  <c r="BY152" i="1" a="1"/>
  <c r="BY49" i="1" a="1"/>
  <c r="BY61" i="1" a="1"/>
  <c r="BY69" i="1" a="1"/>
  <c r="BY77" i="1" a="1"/>
  <c r="BY85" i="1" a="1"/>
  <c r="BY93" i="1" a="1"/>
  <c r="BY97" i="1" a="1"/>
  <c r="BY105" i="1" a="1"/>
  <c r="BY109" i="1" a="1"/>
  <c r="BY117" i="1" a="1"/>
  <c r="BY121" i="1" a="1"/>
  <c r="BY129" i="1" a="1"/>
  <c r="BY137" i="1" a="1"/>
  <c r="BY145" i="1" a="1"/>
  <c r="BY149" i="1" a="1"/>
  <c r="BY157" i="1" a="1"/>
  <c r="BY161" i="1" a="1"/>
  <c r="BY45" i="1" a="1"/>
  <c r="BY53" i="1" a="1"/>
  <c r="BY57" i="1" a="1"/>
  <c r="BY65" i="1" a="1"/>
  <c r="BY73" i="1" a="1"/>
  <c r="BY81" i="1" a="1"/>
  <c r="BY89" i="1" a="1"/>
  <c r="BY101" i="1" a="1"/>
  <c r="BY113" i="1" a="1"/>
  <c r="BY125" i="1" a="1"/>
  <c r="BY133" i="1" a="1"/>
  <c r="BY141" i="1" a="1"/>
  <c r="BY153" i="1" a="1"/>
  <c r="BY50" i="1" a="1"/>
  <c r="BY66" i="1" a="1"/>
  <c r="BY74" i="1" a="1"/>
  <c r="BY82" i="1" a="1"/>
  <c r="BY90" i="1" a="1"/>
  <c r="BY98" i="1" a="1"/>
  <c r="BY106" i="1" a="1"/>
  <c r="BY114" i="1" a="1"/>
  <c r="BY122" i="1" a="1"/>
  <c r="BY134" i="1" a="1"/>
  <c r="BY142" i="1" a="1"/>
  <c r="BY150" i="1" a="1"/>
  <c r="BY158" i="1" a="1"/>
  <c r="BY46" i="1" a="1"/>
  <c r="BY54" i="1" a="1"/>
  <c r="BY58" i="1" a="1"/>
  <c r="BY62" i="1" a="1"/>
  <c r="BY70" i="1" a="1"/>
  <c r="BY78" i="1" a="1"/>
  <c r="BY86" i="1" a="1"/>
  <c r="BY94" i="1" a="1"/>
  <c r="BY102" i="1" a="1"/>
  <c r="BY110" i="1" a="1"/>
  <c r="BY118" i="1" a="1"/>
  <c r="BY126" i="1" a="1"/>
  <c r="BY130" i="1" a="1"/>
  <c r="BY138" i="1" a="1"/>
  <c r="BY146" i="1" a="1"/>
  <c r="BY154" i="1" a="1"/>
  <c r="BY162" i="1" a="1"/>
  <c r="BY14" i="1" a="1"/>
  <c r="BY18" i="1" a="1"/>
  <c r="BY22" i="1" a="1"/>
  <c r="BY26" i="1" a="1"/>
  <c r="BY30" i="1" a="1"/>
  <c r="BY34" i="1" a="1"/>
  <c r="BY38" i="1" a="1"/>
  <c r="BY42" i="1" a="1"/>
  <c r="BY23" i="1" a="1"/>
  <c r="BY27" i="1" a="1"/>
  <c r="BY31" i="1" a="1"/>
  <c r="BY35" i="1" a="1"/>
  <c r="BY39" i="1" a="1"/>
  <c r="BY19" i="1" a="1"/>
  <c r="BY15" i="1" a="1"/>
  <c r="BY20" i="1" a="1"/>
  <c r="BY32" i="1" a="1"/>
  <c r="BY40" i="1" a="1"/>
  <c r="BY25" i="1" a="1"/>
  <c r="BY37" i="1" a="1"/>
  <c r="BY16" i="1" a="1"/>
  <c r="BY24" i="1" a="1"/>
  <c r="BY28" i="1" a="1"/>
  <c r="BY36" i="1" a="1"/>
  <c r="BY29" i="1" a="1"/>
  <c r="BY33" i="1" a="1"/>
  <c r="BY41" i="1" a="1"/>
  <c r="BY21" i="1" a="1"/>
  <c r="BY17" i="1" a="1"/>
  <c r="BY13" i="1" a="1"/>
  <c r="BY162" i="1" l="1"/>
  <c r="BY154" i="1"/>
  <c r="BY146" i="1"/>
  <c r="BY138" i="1"/>
  <c r="BY130" i="1"/>
  <c r="BY126" i="1"/>
  <c r="BY118" i="1"/>
  <c r="BY110" i="1"/>
  <c r="BY102" i="1"/>
  <c r="BY94" i="1"/>
  <c r="BY86" i="1"/>
  <c r="BY78" i="1"/>
  <c r="BY70" i="1"/>
  <c r="BY62" i="1"/>
  <c r="BY58" i="1"/>
  <c r="BY54" i="1"/>
  <c r="BY46" i="1"/>
  <c r="BY158" i="1"/>
  <c r="BY150" i="1"/>
  <c r="BY142" i="1"/>
  <c r="BY134" i="1"/>
  <c r="BY122" i="1"/>
  <c r="BY114" i="1"/>
  <c r="BY106" i="1"/>
  <c r="BY98" i="1"/>
  <c r="BY90" i="1"/>
  <c r="BY82" i="1"/>
  <c r="BY74" i="1"/>
  <c r="BY66" i="1"/>
  <c r="BY50" i="1"/>
  <c r="BY153" i="1"/>
  <c r="BY141" i="1"/>
  <c r="BY133" i="1"/>
  <c r="BY125" i="1"/>
  <c r="BY113" i="1"/>
  <c r="BY101" i="1"/>
  <c r="BY89" i="1"/>
  <c r="BY81" i="1"/>
  <c r="BY73" i="1"/>
  <c r="BY65" i="1"/>
  <c r="BY57" i="1"/>
  <c r="BY53" i="1"/>
  <c r="BY45" i="1"/>
  <c r="BY161" i="1"/>
  <c r="BY157" i="1"/>
  <c r="BY149" i="1"/>
  <c r="BY145" i="1"/>
  <c r="BY137" i="1"/>
  <c r="BY129" i="1"/>
  <c r="BY121" i="1"/>
  <c r="BY117" i="1"/>
  <c r="BY109" i="1"/>
  <c r="BY105" i="1"/>
  <c r="BY97" i="1"/>
  <c r="BY93" i="1"/>
  <c r="BY85" i="1"/>
  <c r="BY77" i="1"/>
  <c r="BY69" i="1"/>
  <c r="BY61" i="1"/>
  <c r="BY49" i="1"/>
  <c r="BY152" i="1"/>
  <c r="BY144" i="1"/>
  <c r="BY136" i="1"/>
  <c r="BY124" i="1"/>
  <c r="BY116" i="1"/>
  <c r="BY108" i="1"/>
  <c r="BY104" i="1"/>
  <c r="BY96" i="1"/>
  <c r="BY88" i="1"/>
  <c r="BY80" i="1"/>
  <c r="BY76" i="1"/>
  <c r="BY68" i="1"/>
  <c r="BY64" i="1"/>
  <c r="BY60" i="1"/>
  <c r="BY56" i="1"/>
  <c r="BY52" i="1"/>
  <c r="BY44" i="1"/>
  <c r="BY160" i="1"/>
  <c r="BY156" i="1"/>
  <c r="BY148" i="1"/>
  <c r="BY140" i="1"/>
  <c r="BY132" i="1"/>
  <c r="BY128" i="1"/>
  <c r="BY120" i="1"/>
  <c r="BY112" i="1"/>
  <c r="BY100" i="1"/>
  <c r="BY92" i="1"/>
  <c r="BY84" i="1"/>
  <c r="BY72" i="1"/>
  <c r="BY48" i="1"/>
  <c r="BY159" i="1"/>
  <c r="BY155" i="1"/>
  <c r="BY151" i="1"/>
  <c r="BY147" i="1"/>
  <c r="BY143" i="1"/>
  <c r="BY139" i="1"/>
  <c r="BY135" i="1"/>
  <c r="BY131" i="1"/>
  <c r="BY127" i="1"/>
  <c r="BY123" i="1"/>
  <c r="BY119" i="1"/>
  <c r="BY115" i="1"/>
  <c r="BY111" i="1"/>
  <c r="BY107" i="1"/>
  <c r="BY103" i="1"/>
  <c r="BY99" i="1"/>
  <c r="BY95" i="1"/>
  <c r="BY91" i="1"/>
  <c r="BY87" i="1"/>
  <c r="BY83" i="1"/>
  <c r="BY79" i="1"/>
  <c r="BY75" i="1"/>
  <c r="BY71" i="1"/>
  <c r="BY67" i="1"/>
  <c r="BY63" i="1"/>
  <c r="BY59" i="1"/>
  <c r="BY55" i="1"/>
  <c r="BY51" i="1"/>
  <c r="BY47" i="1"/>
  <c r="BY43" i="1"/>
  <c r="BY17" i="1"/>
  <c r="BY21" i="1"/>
  <c r="BY41" i="1"/>
  <c r="BY33" i="1"/>
  <c r="BY29" i="1"/>
  <c r="BY36" i="1"/>
  <c r="BY28" i="1"/>
  <c r="BY24" i="1"/>
  <c r="BY16" i="1"/>
  <c r="BY37" i="1"/>
  <c r="BY25" i="1"/>
  <c r="BY40" i="1"/>
  <c r="BY32" i="1"/>
  <c r="BY20" i="1"/>
  <c r="BY15" i="1"/>
  <c r="BY19" i="1"/>
  <c r="BY39" i="1"/>
  <c r="BY35" i="1"/>
  <c r="BY31" i="1"/>
  <c r="BY27" i="1"/>
  <c r="BY23" i="1"/>
  <c r="BY42" i="1"/>
  <c r="BY38" i="1"/>
  <c r="BY34" i="1"/>
  <c r="BY30" i="1"/>
  <c r="BY26" i="1"/>
  <c r="BY22" i="1"/>
  <c r="BY18" i="1"/>
  <c r="BY14" i="1"/>
  <c r="BY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<sst xmlns="http://schemas.openxmlformats.org/spreadsheetml/2006/main" count="10187" uniqueCount="2667">
  <si>
    <t>id</t>
  </si>
  <si>
    <t>organisation_id</t>
  </si>
  <si>
    <t>name</t>
  </si>
  <si>
    <t>manufacturer</t>
  </si>
  <si>
    <t>model_number</t>
  </si>
  <si>
    <t>size</t>
  </si>
  <si>
    <t>speed_rpm</t>
  </si>
  <si>
    <t>impeller_dia_mm</t>
  </si>
  <si>
    <t>catalogue_report_ids</t>
  </si>
  <si>
    <t>family_type</t>
  </si>
  <si>
    <t>impeller_diameters</t>
  </si>
  <si>
    <t>hq_a0</t>
  </si>
  <si>
    <t>hq_a1</t>
  </si>
  <si>
    <t>hq_a2</t>
  </si>
  <si>
    <t>hq_a3</t>
  </si>
  <si>
    <t>hq_a4</t>
  </si>
  <si>
    <t>hq_a5</t>
  </si>
  <si>
    <t>eff_b0</t>
  </si>
  <si>
    <t>eff_b1</t>
  </si>
  <si>
    <t>eff_b2</t>
  </si>
  <si>
    <t>eff_b3</t>
  </si>
  <si>
    <t>eff_b4</t>
  </si>
  <si>
    <t>eff_b5</t>
  </si>
  <si>
    <t>npsh_c0</t>
  </si>
  <si>
    <t>npsh_c1</t>
  </si>
  <si>
    <t>npsh_c2</t>
  </si>
  <si>
    <t>npsh_c3</t>
  </si>
  <si>
    <t>npsh_c4</t>
  </si>
  <si>
    <t>npsh_c5</t>
  </si>
  <si>
    <t>pow_p0</t>
  </si>
  <si>
    <t>pow_p1</t>
  </si>
  <si>
    <t>pow_p2</t>
  </si>
  <si>
    <t>pow_p3</t>
  </si>
  <si>
    <t>pow_p4</t>
  </si>
  <si>
    <t>pow_p5</t>
  </si>
  <si>
    <t>q_min</t>
  </si>
  <si>
    <t>q_max</t>
  </si>
  <si>
    <t>q_bep</t>
  </si>
  <si>
    <t>hr</t>
  </si>
  <si>
    <t>qr</t>
  </si>
  <si>
    <t>er</t>
  </si>
  <si>
    <t>pump_type</t>
  </si>
  <si>
    <t>application</t>
  </si>
  <si>
    <t>notes</t>
  </si>
  <si>
    <t>extra_curves_json</t>
  </si>
  <si>
    <t>graph_show_eff_iso</t>
  </si>
  <si>
    <t>graph_eff_levels</t>
  </si>
  <si>
    <t>graph_show_power_iso</t>
  </si>
  <si>
    <t>graph_power_levels</t>
  </si>
  <si>
    <t>graph_show_npsh_iso</t>
  </si>
  <si>
    <t>graph_npsh_levels</t>
  </si>
  <si>
    <t>graph_show_npsh_curve</t>
  </si>
  <si>
    <t>graph_npsh_yaxis</t>
  </si>
  <si>
    <t>graph_show_speed_lines</t>
  </si>
  <si>
    <t>graph_speed_line_values</t>
  </si>
  <si>
    <t>graph_show_rpm_overlay</t>
  </si>
  <si>
    <t>graph_rpm_values</t>
  </si>
  <si>
    <t>graph_show_dia_overlay</t>
  </si>
  <si>
    <t>graph_dia_overlay_values</t>
  </si>
  <si>
    <t>graph_show_hq</t>
  </si>
  <si>
    <t>graph_show_other</t>
  </si>
  <si>
    <t>graph_show_eff</t>
  </si>
  <si>
    <t>graph_show_power</t>
  </si>
  <si>
    <t>graph_show_npsh</t>
  </si>
  <si>
    <t>graph_combine_eff_power</t>
  </si>
  <si>
    <t>graph_trim_model</t>
  </si>
  <si>
    <t>graph_trim_penalty</t>
  </si>
  <si>
    <t>selection_allow_fixed_speed</t>
  </si>
  <si>
    <t>selection_allow_vsd</t>
  </si>
  <si>
    <t>graph_options_json</t>
  </si>
  <si>
    <t>graph_custom_label_pos</t>
  </si>
  <si>
    <t>curve_labels</t>
  </si>
  <si>
    <t>curve_diameters</t>
  </si>
  <si>
    <t>curve_colors</t>
  </si>
  <si>
    <t>curve_modes</t>
  </si>
  <si>
    <t>curve_units</t>
  </si>
  <si>
    <t>curve_raw_tables</t>
  </si>
  <si>
    <t>curve_coeffs</t>
  </si>
  <si>
    <t>unit_q</t>
  </si>
  <si>
    <t>unit_h</t>
  </si>
  <si>
    <t>unit_npsh</t>
  </si>
  <si>
    <t>unit_pow</t>
  </si>
  <si>
    <t>unit_op_q</t>
  </si>
  <si>
    <t>app_modules</t>
  </si>
  <si>
    <t>impeller_material</t>
  </si>
  <si>
    <t>casing_material</t>
  </si>
  <si>
    <t>number_of_vanes</t>
  </si>
  <si>
    <t>suction_size</t>
  </si>
  <si>
    <t>discharge_size</t>
  </si>
  <si>
    <t>unit_suction</t>
  </si>
  <si>
    <t>unit_discharge</t>
  </si>
  <si>
    <t>max_solid_size_mm</t>
  </si>
  <si>
    <t>unit_solid</t>
  </si>
  <si>
    <t>max_pressure_bar</t>
  </si>
  <si>
    <t>unit_pressure</t>
  </si>
  <si>
    <t>max_temp_c</t>
  </si>
  <si>
    <t>unit_temp</t>
  </si>
  <si>
    <t>seal_type</t>
  </si>
  <si>
    <t>drive_type</t>
  </si>
  <si>
    <t>is_multistage</t>
  </si>
  <si>
    <t>num_stages</t>
  </si>
  <si>
    <t>is_double_suction</t>
  </si>
  <si>
    <t>is_angle_trim</t>
  </si>
  <si>
    <t>is_self_priming</t>
  </si>
  <si>
    <t>is_non_clog</t>
  </si>
  <si>
    <t>has_inducer</t>
  </si>
  <si>
    <t>is_throttling_capable</t>
  </si>
  <si>
    <t>min_flow_m3h</t>
  </si>
  <si>
    <t>max_orifice_dia_mm</t>
  </si>
  <si>
    <t>impeller_eye_area_cm2</t>
  </si>
  <si>
    <t>vfd_min_hz</t>
  </si>
  <si>
    <t>vfd_max_hz</t>
  </si>
  <si>
    <t>PumpAttribute1</t>
  </si>
  <si>
    <t>PumpAttribute2</t>
  </si>
  <si>
    <t>PumpAttribute3</t>
  </si>
  <si>
    <t>PumpAttribute4</t>
  </si>
  <si>
    <t>PumpAttribute5</t>
  </si>
  <si>
    <t>PumpAttribute6</t>
  </si>
  <si>
    <t>PumpAttribute7</t>
  </si>
  <si>
    <t>PumpAttribute8</t>
  </si>
  <si>
    <t>PumpAttribute9</t>
  </si>
  <si>
    <t>PumpAttribute10</t>
  </si>
  <si>
    <t>PumpAttribute11</t>
  </si>
  <si>
    <t>PumpAttribute12</t>
  </si>
  <si>
    <t>PumpAttribute13</t>
  </si>
  <si>
    <t>PumpAttribute14</t>
  </si>
  <si>
    <t>PumpAttribute15</t>
  </si>
  <si>
    <t>PumpAttribute16</t>
  </si>
  <si>
    <t>PumpAttribute17</t>
  </si>
  <si>
    <t>PumpAttribute18</t>
  </si>
  <si>
    <t>PumpAttribute19</t>
  </si>
  <si>
    <t>PumpAttribute20</t>
  </si>
  <si>
    <t>PumpAttribute21</t>
  </si>
  <si>
    <t>PumpAttribute22</t>
  </si>
  <si>
    <t>PumpAttribute23</t>
  </si>
  <si>
    <t>PumpAttribute24</t>
  </si>
  <si>
    <t>PumpAttribute25</t>
  </si>
  <si>
    <t>PumpAttribute26</t>
  </si>
  <si>
    <t>PumpAttribute27</t>
  </si>
  <si>
    <t>PumpAttribute28</t>
  </si>
  <si>
    <t>PumpAttribute29</t>
  </si>
  <si>
    <t>PumpAttribute30</t>
  </si>
  <si>
    <t>head_curve_style</t>
  </si>
  <si>
    <t>eff_curve_style</t>
  </si>
  <si>
    <t>power_curve_style</t>
  </si>
  <si>
    <t>npsh_curve_style</t>
  </si>
  <si>
    <t>main_curve_style</t>
  </si>
  <si>
    <t>axis_flow_min</t>
  </si>
  <si>
    <t>axis_flow_max</t>
  </si>
  <si>
    <t>axis_flow_major</t>
  </si>
  <si>
    <t>axis_flow_minor</t>
  </si>
  <si>
    <t>axis_head_min</t>
  </si>
  <si>
    <t>axis_head_max</t>
  </si>
  <si>
    <t>axis_head_major</t>
  </si>
  <si>
    <t>axis_head_minor</t>
  </si>
  <si>
    <t>axis_eff_min</t>
  </si>
  <si>
    <t>axis_eff_max</t>
  </si>
  <si>
    <t>axis_eff_major</t>
  </si>
  <si>
    <t>axis_eff_minor</t>
  </si>
  <si>
    <t>axis_power_min</t>
  </si>
  <si>
    <t>axis_power_max</t>
  </si>
  <si>
    <t>axis_power_major</t>
  </si>
  <si>
    <t>axis_power_minor</t>
  </si>
  <si>
    <t>axis_npsh_min</t>
  </si>
  <si>
    <t>axis_npsh_max</t>
  </si>
  <si>
    <t>axis_npsh_major</t>
  </si>
  <si>
    <t>axis_npsh_minor</t>
  </si>
  <si>
    <t>poly_order</t>
  </si>
  <si>
    <t>poly_order_hq</t>
  </si>
  <si>
    <t>poly_order_eff</t>
  </si>
  <si>
    <t>poly_order_npsh</t>
  </si>
  <si>
    <t>poly_order_pow</t>
  </si>
  <si>
    <t>created_at</t>
  </si>
  <si>
    <t>updated_at</t>
  </si>
  <si>
    <t>Test Pump Filtered</t>
  </si>
  <si>
    <t>Weir Minerals</t>
  </si>
  <si>
    <t>4/3 C-AH</t>
  </si>
  <si>
    <t>all</t>
  </si>
  <si>
    <t>trimmed_impeller</t>
  </si>
  <si>
    <t>centrifugal slurry</t>
  </si>
  <si>
    <t>Slurry / mineral processing</t>
  </si>
  <si>
    <t>Standard duty slurry pump. Up to 40% w/w abrasive slurry.</t>
  </si>
  <si>
    <t>15;30;45</t>
  </si>
  <si>
    <t>5;15;25</t>
  </si>
  <si>
    <t>3;5</t>
  </si>
  <si>
    <t>y2</t>
  </si>
  <si>
    <t>[330;305;280;255;230]</t>
  </si>
  <si>
    <t>both</t>
  </si>
  <si>
    <t>NULL</t>
  </si>
  <si>
    <t>{"show_eff_iso": true, "eff_levels": "15;30;45", "show_power_iso": true, "power_levels": "5;15;25", "show_npsh_iso": true, "npsh_levels": "3;5", "show_npsh_curve": true, "npsh_yaxis": "y2", "show_speed_lines": true, "show_hq": true, "show_other": true, "show_eff": true, "show_power": true, "show_npsh": true, "combine_eff_power": true, "trim_model": "both", "custom_label_pos": {"\u00d8250 mm": {"x": 100, "y": 25}}, "unit_max_imp": "mm", "graph_unit_q": "", "graph_unit_h": "", "graph_unit_npsh": "", "graph_unit_pow": "", "legend_mode": "each"}</t>
  </si>
  <si>
    <t>{"\u00d8250 mm": {"x": 100, "y": 25}}</t>
  </si>
  <si>
    <t>Curve 1</t>
  </si>
  <si>
    <t>330.0;mm</t>
  </si>
  <si>
    <t>#58a6ff</t>
  </si>
  <si>
    <t>fit</t>
  </si>
  <si>
    <t>m3h,m,m,kw</t>
  </si>
  <si>
    <t>0.000,46.000,,1.800,1.870;20.000,43.125,40.0,2.280,3.833;30.800,39.182,62.3,2.938,4.627;44.000,32.085,72.0,4.123,5.343;64.000,16.560,49.8,6.715,5.896;80.000,,0.0,9.480,5.877</t>
  </si>
  <si>
    <t>46.0,0.0,-0.0071875,0.0,-35.55555555555556,4.888888888888889,-0.05555555555555555,0.0,1.8,0.0,0.0012,1.8701,0.11418058,-0.0008011192,80.00,44.00</t>
  </si>
  <si>
    <t>m3h</t>
  </si>
  <si>
    <t>m</t>
  </si>
  <si>
    <t>kw</t>
  </si>
  <si>
    <t>mm</t>
  </si>
  <si>
    <t>bar</t>
  </si>
  <si>
    <t>degC</t>
  </si>
  <si>
    <t>#58a6ff;2.0,solid</t>
  </si>
  <si>
    <t>#3fb950;1.5,dot</t>
  </si>
  <si>
    <t>#f85149;1.5,longdash</t>
  </si>
  <si>
    <t>#39d3c0;1.5,dashdot</t>
  </si>
  <si>
    <t>graph</t>
  </si>
  <si>
    <t>Warman 6/4 D-AH</t>
  </si>
  <si>
    <t>6/4 D-AH</t>
  </si>
  <si>
    <t>Slurry / tailings</t>
  </si>
  <si>
    <t>Heavy duty slurry pump for coarse and abrasive slurries.</t>
  </si>
  <si>
    <t>[]</t>
  </si>
  <si>
    <t>[480;450;420;390;360]</t>
  </si>
  <si>
    <t>{"unit_max_imp": "mm", "graph_unit_q": "m3h", "graph_unit_h": "m", "graph_unit_npsh": "m", "graph_unit_pow": "kw", "legend_mode": "each", "label_format": "percent", "custom_label_pos": {}}</t>
  </si>
  <si>
    <t>{}</t>
  </si>
  <si>
    <t>480.0;mm</t>
  </si>
  <si>
    <t>0.000,58.000,,2.200,9.298;87.500,54.375,41.5,2.545,18.966;136.500,49.178,68.6,3.038,23.015;195.000,39.996,80.0,3.911,26.566;280.000,20.880,55.9,5.728,29.237;350.000,,0.0,7.713,29.223</t>
  </si>
  <si>
    <t>58.0,0.0,-0.000473469387755102,0.0,0,0,-46.61810613943808,1.2986472424557753,-0.0033298647242455777,0.0,0,0,2.2,0.0,4.5e-05,0,0,0,9.2982,0.12834262,-0.0002040423,0,0,0,350.00,195.00</t>
  </si>
  <si>
    <t>Warman 8/6 E-AH</t>
  </si>
  <si>
    <t>8/6 E-AH</t>
  </si>
  <si>
    <t>Slurry / coarse solids</t>
  </si>
  <si>
    <t>Large slurry pump for high flow, coarse slurry duties.</t>
  </si>
  <si>
    <t>[610;570;530;490;450]</t>
  </si>
  <si>
    <t>Warman 10/8 F-M</t>
  </si>
  <si>
    <t>10/8 F-M</t>
  </si>
  <si>
    <t>Mill circuit</t>
  </si>
  <si>
    <t>Mill discharge pump for SAG/ball mill circuits.</t>
  </si>
  <si>
    <t>[760;710;660;610;560]</t>
  </si>
  <si>
    <t>Generic CW 50-200</t>
  </si>
  <si>
    <t>Generic</t>
  </si>
  <si>
    <t>CW50-200</t>
  </si>
  <si>
    <t>50-200</t>
  </si>
  <si>
    <t>centrifugal</t>
  </si>
  <si>
    <t>General water service</t>
  </si>
  <si>
    <t>Standard end-suction centrifugal pump for water duties.</t>
  </si>
  <si>
    <t>[{"label": "Curve 1Manual Trim 1", "color": "#58a6ff", "diameter": 290290, "unit_q": "ls", "unit_h": "m", "unit_npsh": "m", "unit_pow": "kw", "hq_a0": 48, "hq_a1": 0, "hq_a2": -0.0009645062, "hq_a3": 0, "eff_b0": 0, "eff_b1": 1.5625, "eff_b2": -0.0078125, "eff_b3": 0, "npsh_c0": 1, "npsh_c1": 0, "npsh_c2": 0, "pow_p0": 4.6822, "pow_p1": 0.126239, "pow_p2": -0.0003928, "q_max": 144, "q_bep": 99.99}]</t>
  </si>
  <si>
    <t>[200;185;170;155]</t>
  </si>
  <si>
    <t>Generic CW 100-315</t>
  </si>
  <si>
    <t>CW100-315</t>
  </si>
  <si>
    <t>100-315</t>
  </si>
  <si>
    <t>variable_speed</t>
  </si>
  <si>
    <t>General water / process</t>
  </si>
  <si>
    <t>Medium-duty centrifugal pump for water and mild process fluids.</t>
  </si>
  <si>
    <t>[{"label": "Curve 1Test Trim", "color": "#58a6ff", "diameter": 280280, "unit_q": "ls", "unit_h": "m", "unit_npsh": "m", "unit_pow": "kw", "hq_a0": 50, "hq_a1": 0, "hq_a2": -0.0009645062, "hq_a3": 0, "eff_b0": 0, "eff_b1": 1.49305556, "eff_b2": -0.0072337963, "eff_b3": 0, "npsh_c0": 1, "npsh_c1": 0, "npsh_c2": 0, "pow_p0": 5.0747, "pow_p1": 0.131362, "pow_p2": -0.00038781, "q_max": 144, "q_bep": 103.17}, {"label": "Curve 2Manual Trim 2", "color": "#3fb950", "diameter": 275, "unit_q": "m3h", "unit_h": "m", "unit_npsh": "m", "unit_pow": "kw", "hq_a0": 46, "hq_a1": 0.025, "hq_a2": -0.01375, "hq_a3": 0, "eff_b0": 0, "eff_b1": 5.5, "eff_b2": -0.1, "eff_b3": 0, "npsh_c0": 1, "npsh_c1": 0, "npsh_c2": 0, "pow_p0": 1.2588, "pow_p1": 0.123613, "pow_p2": -0.00140444, "q_max": 40, "q_bep": 27.51}]</t>
  </si>
  <si>
    <t>1000, 900, 800, 700, 600, 500</t>
  </si>
  <si>
    <t>[315;290;265;240]</t>
  </si>
  <si>
    <t>{"unit_max_imp": "mm", "graph_unit_q": "m3h", "graph_unit_h": "m", "graph_unit_npsh": "m", "graph_unit_pow": "kw", "legend_mode": "each", "custom_label_pos": {"eta_75": {"x": 133.89, "y": 55.18}, "eta_45": {"x": 226.26, "y": 29.18}, "eta_70": {"x": 187.47, "y": 44.92}}}</t>
  </si>
  <si>
    <t>{"eta_75": {"x": 133.89, "y": 55.18}, "eta_45": {"x": 226.26, "y": 29.18}, "eta_70": {"x": 187.47, "y": 44.92}}</t>
  </si>
  <si>
    <t>Curve 1;Curve 1Test Trim;Curve 2Manual Trim 2</t>
  </si>
  <si>
    <t>315.0;mm|280280;mm|275;mm</t>
  </si>
  <si>
    <t>#58a6ff;#58a6ff;#3fb950</t>
  </si>
  <si>
    <t>fit;fit;fit</t>
  </si>
  <si>
    <t>m3h,m,m,kw|ls,m,m,kw|m3h,m,m,kw</t>
  </si>
  <si>
    <t>0.000,68.000,,1.800,7.978;62.500,63.750,42.6,2.171,16.331;96.600,57.847,67.3,2.686,19.742;138.000,47.280,78.0,3.609,22.795;200.000,24.480,54.1,5.600,25.135;250.000,,,7.737,25.074||</t>
  </si>
  <si>
    <t>68.0,0.0,-0.001088,0.0,-40.41772959183673,1.7161989795918366,-0.006218112244897959,0.0,1.8,0.0,9.5e-05,7.9781,0.15539651,-0.0003480523,250.00,138.00|50,0,-0.0009645062,0,0,1.49305556,-0.0072337963,0,1,0,0,5.0747,0.131362,-0.00038781,144,103.17|46,0.025,-0.01375,0,0,5.5,-0.1,0,1,0,0,1.2588,0.123613,-0.00140444,40,27.51</t>
  </si>
  <si>
    <t>KSB Etanorm 32-200</t>
  </si>
  <si>
    <t>KSB</t>
  </si>
  <si>
    <t>Etanorm 32-200</t>
  </si>
  <si>
    <t>32-200</t>
  </si>
  <si>
    <t>Building services / HVAC</t>
  </si>
  <si>
    <t>Compact process pump for heating / cooling circuits.</t>
  </si>
  <si>
    <t>[190;175;160]</t>
  </si>
  <si>
    <t>{"unit_max_imp": "mm", "graph_unit_q": "m3h", "graph_unit_h": "m", "graph_unit_npsh": "m", "graph_unit_pow": "kw", "legend_mode": "each", "custom_label_pos": {"eta_50": {"x": 12.87, "y": 16.24}, "eta_55": {"x": 10.59, "y": 22.92}, "eta_60": {"x": 6.19, "y": 16.61}, "eta_30": {"x": 4.68, "y": 32.76}, "eta_45": {"x": 13.18, "y": 16.44}}, "label_format": "percent"}</t>
  </si>
  <si>
    <t>{"eta_50": {"x": 12.87, "y": 16.24}, "eta_55": {"x": 10.59, "y": 22.92}, "eta_60": {"x": 6.19, "y": 16.61}, "eta_30": {"x": 4.68, "y": 32.76}, "eta_45": {"x": 13.18, "y": 16.44}}</t>
  </si>
  <si>
    <t>190.0;mm</t>
  </si>
  <si>
    <t>0.000,30.000,,1.000,0.284;4.000,28.125,30.4,2.600,0.577;6.300,25.349,52.8,4.969,0.703;9.000,20.508,62.0,9.100,0.811;12.800,10.800,43.7,17.384,0.891;16.000,,,26.600,0.892</t>
  </si>
  <si>
    <t>30.0,0.0,-0.1171875,0.0,0,0,-40.48979591836735,22.775510204081634,-1.2653061224489797,0.0,0,0,1.0,0.0,0.1,0,0,0,0.2839,0.0850248,-0.0029374399,0,0,0,16.00,9.00</t>
  </si>
  <si>
    <t>open</t>
  </si>
  <si>
    <t>ANSI</t>
  </si>
  <si>
    <t>Rubber</t>
  </si>
  <si>
    <t>ISF100x65-200 2P</t>
  </si>
  <si>
    <t>APEX PUMPS</t>
  </si>
  <si>
    <t>ISF100x65-200</t>
  </si>
  <si>
    <t>Process</t>
  </si>
  <si>
    <t>Test notes</t>
  </si>
  <si>
    <t>[{"label":"Curve 2","color":"#127ef3","diameter":"182","unit_dia":"mm","curve_mode":"affinity","unit_q":"ls","unit_h":"m","unit_npsh":"m","unit_pow":"kw","style_mode":"custom","use_custom_style":true,"weight":3,"style":"dot","raw_table":[["0","41.27","0","2.41","6.5"],["10.2","41.74","44.82","2.41","9.32"],["20.04","41.42","65.45","2.41","12.44"],["26.72","39.8","72.27","2.45","14.44"],["33.4","36.67","74.98","2.8","16.02"],["40.08","31.84","72.83","3.8","17.19"],["43.42","28.66","69.09","5","17.67"]]}]</t>
  </si>
  <si>
    <t>30;40;50;60;75;78</t>
  </si>
  <si>
    <t>10;15;20;35;30;40</t>
  </si>
  <si>
    <t>1.5;2.5;3.5;4.5</t>
  </si>
  <si>
    <t>y1</t>
  </si>
  <si>
    <t>2900;2100;1450;750</t>
  </si>
  <si>
    <t>2900, 2000, 1000</t>
  </si>
  <si>
    <t>228;213;197;182</t>
  </si>
  <si>
    <t>{"unit_max_imp": "mm", "graph_unit_q": "ls", "graph_unit_h": "m", "graph_unit_npsh": "m", "graph_unit_pow": "kw", "legend_mode": "curve_labels", "curve_label_flow_pct": 100, "curve_label_vpos": "top", "curve_label_pos": "middle-top", "custom_label_pos": {"\u00d8182 mm (Affinity)": {"x": 179.04, "y": 28.92}, "\u00d8182 mm (Fitted)": {"x": 271.66, "y": 39.7}, "\u00d8228 mm": {"x": 216.07, "y": 47.33}, "eta_30": {"x": 97.42, "y": 74.34}, "eta_40": {"x": 142.16, "y": 74.47}, "\u00d8228.0 mm": {"x": 125, "y": 48}, "\u00d8197 mm": {"x": 183.85, "y": 34.45}, "eta_75": {"x": 108.99, "y": 72.32}, "npsh_4.5": {"x": 169.99, "y": 61.93}, "\u00d8213 mm": {"x": 197.75, "y": 40.59}, "eta_78": {"x": 185, "y": 59.7}, "eta_50": {"x": 185.54, "y": 75.37}, "npsh_2": {"x": 105.01, "y": 56.97}, "eta_60": {"x": 244.4, "y": 74.82}, "npsh_2.5": {"x": 123.52, "y": 52.88}, "npsh_3": {"x": 150.55, "y": 48.48}, "npsh_1.5": {"x": 275.4, "y": 47.89}, "eta_75_4": {"x": 107.66, "y": 71.86}, "npsh_4.5_5": {"x": 189.08, "y": 48.46}, "eta_75_5": {"x": 208.4, "y": 51.11}, "eta_78_7": {"x": 183.66, "y": 58.23}, "eta_30_0": {"x": 97.42, "y": 73.57}, "eta_78_6": {"x": 125.86, "y": 71.79}, "eff_\u00d8197 mm": {"x": 182.74, "y": 68.81}, "eff_\u00d8228 mm": {"x": 208.15, "y": 73.42}, "pow_\u00d8182 mm": {"x": 180.79, "y": 18.64}, "npsh_\u00d8182 mm": {"x": 171.29, "y": 2.81}, "eff_\u00d8213 mm": {"x": 197.03, "y": 71.03}, "eff_spd_3": {"x": 13.46, "y": 63.67}, "\u00d8182 mm": {"x": 173.59, "y": 29.12}, "eff_\u00d8182 mm": {"x": 166, "y": 69.32}, "eff_spd_0": {"x": 214.85, "y": 67.56}, "eff_spd_2": {"x": 113.72, "y": 66.44}, "eff_spd_1": {"x": 156.74, "y": 69.22}, "\u00d8213 mm (93%)": {"x": 209.41, "y": 40.29}, "\u00d8182 mm (80%)": {"x": 178.49, "y": 28.29}, "\u00d8197 mm (86%)": {"x": 194.83, "y": 34.03}, "pow_\u00d8182 mm (80%)": {"x": 176.36, "y": 18.67}, "pow_\u00d8197 mm (86%)": {"x": 207.68, "y": 22.82}, "pow_\u00d8228 mm (100%)": {"x": 229.75, "y": 38.36}, "eff_\u00d8228 mm (100%)": {"x": 210.92, "y": 73.82}, "eff_\u00d8213 mm (93%)": {"x": 197.14, "y": 70.45}, "eff_\u00d8197 mm (86%)": {"x": 180.04, "y": 68.97}, "eff_\u00d8182 mm (80%)": {"x": 171.32, "y": 67.69}, "spd_lbl_1": {"x": 164.27, "y": 22.72}, "spd_lbl_0": {"x": 213.59, "y": 45.65}, "npsh_4.5_3": {"x": 196.45, "y": 46.45}, "pow_spd_1": {"x": 168.05, "y": 16}, "pow_spd_2": {"x": 114.16, "y": 6}, "pow_spd_3": {"x": 66.53, "y": 0.67}, "npsh_spd_3": {"x": 62.35, "y": 0.21}, "npsh_spd_2": {"x": 115.81, "y": 1.12}, "npsh_\u00d8228 mm (100%)": {"x": 216.32, "y": 4.25}, "pow_spd_0": {"x": 162.61, "y": 34.67}, "pow_dia_0": {"x": 217.33, "y": 37.56}, "eff_dia_3": {"x": 167.83, "y": 66.83}, "pow_dia_3": {"x": 178.88, "y": 18}, "pow_dia_2": {"x": 193.93, "y": 24.44}, "spd_lbl_2": {"x": 111.64, "y": 6.96}, "dia_lbl_3": {"x": 132.67, "y": 30.43}, "dia_lbl_2": {"x": 187.67, "y": 35.79}, "dia_lbl_1": {"x": 199.37, "y": 40.32}, "eff_dia_2": {"x": 181.94, "y": 69.06}, "eff_dia_1": {"x": 197.35, "y": 72.11}, "eff_dia_0": {"x": 210.28, "y": 73.78}, "eta_40_left": {"x": 38.09, "y": 74.45}, "eta_30_left": {"x": 25.56, "y": 73.92}, "eta_50_left": {"x": 53.57, "y": 75.52}, "eta_60_left": {"x": 73.62, "y": 74.99}, "eta_75_left": {"x": 107.03, "y": 73.92}, "dia_lbl_0": {"x": 214.42, "y": 47.52}, "eta_75_right": {"x": 208.91, "y": 52.59}, "spd_lbl_3": {"x": 64.84, "y": 1.92}, "pow_30_4": {"x": 150.08, "y": 59.23}, "pow_20_2": {"x": 85.32, "y": 61.63}, "npsh_2.5_1": {"x": 140.04, "y": 52.03}, "npsh_3.5_2": {"x": 175.57, "y": 43.49}, "npsh_spd_1": {"x": 160.92, "y": 2.34}, "npsh_spd_0": {"x": 157.18, "y": 3.26}, "npsh_dia_0": {"x": 209.45, "y": 4.56}, "npsh_dia_1": {"x": 196.92, "y": 3.97}, "npsh_dia_2": {"x": 181.87, "y": 3.41}, "npsh_dia_3": {"x": 167.47, "y": 2.91}, "pow_dia_1": {"x": 206.46, "y": 29.33}, "pow_15_1": {"x": 56.48, "y": 56.29}, "pow_35_3": {"x": 185.18, "y": 50.72}, "eta_78_right": {"x": 183.49, "y": 60.59}, "eta_78_left": {"x": 127.08, "y": 72.32}, "pow_10_0": {"x": 31.43, "y": 48.83}, "npsh_1.5_0": {"x": 80.32, "y": 47.36}, "\u00d8228 mm (100%)": {"x": 226.4, "y": 45.63}, "pow_\u00d8197 mm": {"x": 195.19, "y": 24.64}, "pow_\u00d8213 mm": {"x": 205.63, "y": 30.42}, "pow_\u00d8228 mm": {"x": 213.59, "y": 36.64}, "npsh_\u00d8197 mm": {"x": 184.43, "y": 3.46}, "npsh_\u00d8213 mm": {"x": 198.18, "y": 3.98}, "npsh_\u00d8228 mm": {"x": 211.68, "y": 4.54}, "eff_750 RPM (26%)": {"x": 22.21, "y": 65.33}, "eff_1450 RPM (50%)": {"x": 109.12, "y": 68.11}, "eff_2100 RPM (72%)": {"x": 165.24, "y": 72.39}, "eff_2900 RPM (100%)": {"x": 208.87, "y": 66.56}, "750 RPM (26%)": {"x": 74.27, "y": 2.85}, "1450 RPM (50%)": {"x": 121.25, "y": 10.56}, "2100 RPM (72%)": {"x": 165.28, "y": 34.35}, "2900 RPM (100%)": {"x": 223.02, "y": 45.03}, "pow_1450 RPM (50%)": {"x": 125.03, "y": 4.04}, "pow_2100 RPM (72%)": {"x": 152.28, "y": 13.46}, "pow_2900 RPM (100%)": {"x": 225.61, "y": 35.97}, "pow_\u00d8213 mm (93%)": {"x": 217.76, "y": 29.4}, "npsh_\u00d8182 mm (80%)": {"x": 158.8, "y": 2.11}, "npsh_\u00d8197 mm (86%)": {"x": 186.59, "y": 3}, "npsh_\u00d8213 mm (93%)": {"x": 192.35, "y": 3.69}, "1000 RPM (34%)": {"x": 94.93, "y": 3.76}, "eff_1000 RPM (34%)": {"x": 27.25, "y": 65.28}, "eff_2000 RPM (69%)": {"x": 140.87, "y": 67.5}, "pow_1000 RPM (34%)": {"x": 97.02, "y": 2.64}, "pow_2000 RPM (69%)": {"x": 159.26, "y": 11.76}, "npsh_1000 RPM (34%)": {"x": 91.22, "y": 0.56}, "npsh_2900 RPM (100%)": {"x": 243.43, "y": 4.54}, "npsh_2000 RPM (69%)": {"x": 179.57, "y": 2.2}}, "label_format": "simple"}</t>
  </si>
  <si>
    <t>{"\u00d8182 mm (Affinity)": {"x": 179.04, "y": 28.92}, "\u00d8182 mm (Fitted)": {"x": 271.66, "y": 39.7}, "\u00d8228 mm": {"x": 216.07, "y": 47.33}, "eta_30": {"x": 97.42, "y": 74.34}, "eta_40": {"x": 142.16, "y": 74.47}, "\u00d8228.0 mm": {"x": 125, "y": 48}, "\u00d8197 mm": {"x": 183.85, "y": 34.45}, "eta_75": {"x": 108.99, "y": 72.32}, "npsh_4.5": {"x": 169.99, "y": 61.93}, "\u00d8213 mm": {"x": 197.75, "y": 40.59}, "eta_78": {"x": 185, "y": 59.7}, "eta_50": {"x": 185.54, "y": 75.37}, "npsh_2": {"x": 105.01, "y": 56.97}, "eta_60": {"x": 244.4, "y": 74.82}, "npsh_2.5": {"x": 123.52, "y": 52.88}, "npsh_3": {"x": 150.55, "y": 48.48}, "npsh_1.5": {"x": 275.4, "y": 47.89}, "eta_75_4": {"x": 107.66, "y": 71.86}, "npsh_4.5_5": {"x": 189.08, "y": 48.46}, "eta_75_5": {"x": 208.4, "y": 51.11}, "eta_78_7": {"x": 183.66, "y": 58.23}, "eta_30_0": {"x": 97.42, "y": 73.57}, "eta_78_6": {"x": 125.86, "y": 71.79}, "eff_\u00d8197 mm": {"x": 182.74, "y": 68.81}, "eff_\u00d8228 mm": {"x": 208.15, "y": 73.42}, "pow_\u00d8182 mm": {"x": 180.79, "y": 18.64}, "npsh_\u00d8182 mm": {"x": 171.29, "y": 2.81}, "eff_\u00d8213 mm": {"x": 197.03, "y": 71.03}, "eff_spd_3": {"x": 13.46, "y": 63.67}, "\u00d8182 mm": {"x": 173.59, "y": 29.12}, "eff_\u00d8182 mm": {"x": 166, "y": 69.32}, "eff_spd_0": {"x": 214.85, "y": 67.56}, "eff_spd_2": {"x": 113.72, "y": 66.44}, "eff_spd_1": {"x": 156.74, "y": 69.22}, "\u00d8213 mm (93%)": {"x": 209.41, "y": 40.29}, "\u00d8182 mm (80%)": {"x": 178.49, "y": 28.29}, "\u00d8197 mm (86%)": {"x": 194.83, "y": 34.03}, "pow_\u00d8182 mm (80%)": {"x": 176.36, "y": 18.67}, "pow_\u00d8197 mm (86%)": {"x": 207.68, "y": 22.82}, "pow_\u00d8228 mm (100%)": {"x": 229.75, "y": 38.36}, "eff_\u00d8228 mm (100%)": {"x": 210.92, "y": 73.82}, "eff_\u00d8213 mm (93%)": {"x": 197.14, "y": 70.45}, "eff_\u00d8197 mm (86%)": {"x": 180.04, "y": 68.97}, "eff_\u00d8182 mm (80%)": {"x": 171.32, "y": 67.69}, "spd_lbl_1": {"x": 164.27, "y": 22.72}, "spd_lbl_0": {"x": 213.59, "y": 45.65}, "npsh_4.5_3": {"x": 196.45, "y": 46.45}, "pow_spd_1": {"x": 168.05, "y": 16}, "pow_spd_2": {"x": 114.16, "y": 6}, "pow_spd_3": {"x": 66.53, "y": 0.67}, "npsh_spd_3": {"x": 62.35, "y": 0.21}, "npsh_spd_2": {"x": 115.81, "y": 1.12}, "npsh_\u00d8228 mm (100%)": {"x": 216.32, "y": 4.25}, "pow_spd_0": {"x": 162.61, "y": 34.67}, "pow_dia_0": {"x": 217.33, "y": 37.56}, "eff_dia_3": {"x": 167.83, "y": 66.83}, "pow_dia_3": {"x": 178.88, "y": 18}, "pow_dia_2": {"x": 193.93, "y": 24.44}, "spd_lbl_2": {"x": 111.64, "y": 6.96}, "dia_lbl_3": {"x": 132.67, "y": 30.43}, "dia_lbl_2": {"x": 187.67, "y": 35.79}, "dia_lbl_1": {"x": 199.37, "y": 40.32}, "eff_dia_2": {"x": 181.94, "y": 69.06}, "eff_dia_1": {"x": 197.35, "y": 72.11}, "eff_dia_0": {"x": 210.28, "y": 73.78}, "eta_40_left": {"x": 38.09, "y": 74.45}, "eta_30_left": {"x": 25.56, "y": 73.92}, "eta_50_left": {"x": 53.57, "y": 75.52}, "eta_60_left": {"x": 73.62, "y": 74.99}, "eta_75_left": {"x": 107.03, "y": 73.92}, "dia_lbl_0": {"x": 214.42, "y": 47.52}, "eta_75_right": {"x": 208.91, "y": 52.59}, "spd_lbl_3": {"x": 64.84, "y": 1.92}, "pow_30_4": {"x": 150.08, "y": 59.23}, "pow_20_2": {"x": 85.32, "y": 61.63}, "npsh_2.5_1": {"x": 140.04, "y": 52.03}, "npsh_3.5_2": {"x": 175.57, "y": 43.49}, "npsh_spd_1": {"x": 160.92, "y": 2.34}, "npsh_spd_0": {"x": 157.18, "y": 3.26}, "npsh_dia_0": {"x": 209.45, "y": 4.56}, "npsh_dia_1": {"x": 196.92, "y": 3.97}, "npsh_dia_2": {"x": 181.87, "y": 3.41}, "npsh_dia_3": {"x": 167.47, "y": 2.91}, "pow_dia_1": {"x": 206.46, "y": 29.33}, "pow_15_1": {"x": 56.48, "y": 56.29}, "pow_35_3": {"x": 185.18, "y": 50.72}, "eta_78_right": {"x": 183.49, "y": 60.59}, "eta_78_left": {"x": 127.08, "y": 72.32}, "pow_10_0": {"x": 31.43, "y": 48.83}, "npsh_1.5_0": {"x": 80.32, "y": 47.36}, "\u00d8228 mm (100%)": {"x": 226.4, "y": 45.63}, "pow_\u00d8197 mm": {"x": 195.19, "y": 24.64}, "pow_\u00d8213 mm": {"x": 205.63, "y": 30.42}, "pow_\u00d8228 mm": {"x": 213.59, "y": 36.64}, "npsh_\u00d8197 mm": {"x": 184.43, "y": 3.46}, "npsh_\u00d8213 mm": {"x": 198.18, "y": 3.98}, "npsh_\u00d8228 mm": {"x": 211.68, "y": 4.54}, "eff_750 RPM (26%)": {"x": 22.21, "y": 65.33}, "eff_1450 RPM (50%)": {"x": 109.12, "y": 68.11}, "eff_2100 RPM (72%)": {"x": 165.24, "y": 72.39}, "eff_2900 RPM (100%)": {"x": 208.87, "y": 66.56}, "750 RPM (26%)": {"x": 74.27, "y": 2.85}, "1450 RPM (50%)": {"x": 121.25, "y": 10.56}, "2100 RPM (72%)": {"x": 165.28, "y": 34.35}, "2900 RPM (100%)": {"x": 223.02, "y": 45.03}, "pow_1450 RPM (50%)": {"x": 125.03, "y": 4.04}, "pow_2100 RPM (72%)": {"x": 152.28, "y": 13.46}, "pow_2900 RPM (100%)": {"x": 225.61, "y": 35.97}, "pow_\u00d8213 mm (93%)": {"x": 217.76, "y": 29.4}, "npsh_\u00d8182 mm (80%)": {"x": 158.8, "y": 2.11}, "npsh_\u00d8197 mm (86%)": {"x": 186.59, "y": 3}, "npsh_\u00d8213 mm (93%)": {"x": 192.35, "y": 3.69}, "1000 RPM (34%)": {"x": 94.93, "y": 3.76}, "eff_1000 RPM (34%)": {"x": 27.25, "y": 65.28}, "eff_2000 RPM (69%)": {"x": 140.87, "y": 67.5}, "pow_1000 RPM (34%)": {"x": 97.02, "y": 2.64}, "pow_2000 RPM (69%)": {"x": 159.26, "y": 11.76}, "npsh_1000 RPM (34%)": {"x": 91.22, "y": 0.56}, "npsh_2900 RPM (100%)": {"x": 243.43, "y": 4.54}, "npsh_2000 RPM (69%)": {"x": 179.57, "y": 2.2}}</t>
  </si>
  <si>
    <t>MainCurve;Curve 2</t>
  </si>
  <si>
    <t>228.0;mm|182;mm</t>
  </si>
  <si>
    <t>#58a6ff;#127ef3</t>
  </si>
  <si>
    <t>fit;affinity</t>
  </si>
  <si>
    <t>ls,m,m,kw|ls,m,m,kw</t>
  </si>
  <si>
    <t>0,70,0,2.41,12.0;13.05,70.79,48,2.41,18.88;26.1,70.25,70.1,2.41,25.66;34.8,67.5,77.4,2.45,29.77;43.5,62.2,80.3,2.8,33.05;52.2,54,78,3.8,35.45;56.55,48.6,74,5,36.43|0,41.27,0,2.41,6.5;10.2,41.74,44.82,2.41,9.32;20.04,41.42,65.45,2.41,12.44;26.72,39.8,72.27,2.45,14.44;33.4,36.67,74.98,2.8,16.02;40.08,31.84,72.83,3.8,17.19;43.42,28.66,69.09,5,17.67</t>
  </si>
  <si>
    <t>69.996949,0.00501678,0.0005897238,-7.466356e-06,9.4089e-09,0,0.368878,1.26136189,-0.0062642612,9.167406e-06,0,0,2.614652,-0.01680064,0.0001301316,0,0,0,11.9889,0.143352,0.00014407,-1.2772e-06,0,0,203.58,150.34|41.268237,0.00332502,0.0006080229,-0.000009913106,0,0,0,0,0,0,0,0,0,0,0,0,0,0,0,0,0,0,0,0,0,0</t>
  </si>
  <si>
    <t>ls</t>
  </si>
  <si>
    <t>Closed</t>
  </si>
  <si>
    <t>ISO</t>
  </si>
  <si>
    <t>Metal</t>
  </si>
  <si>
    <t>#b0788e;1.5,solid</t>
  </si>
  <si>
    <t>#b2ba40;1.5,dot</t>
  </si>
  <si>
    <t>#55918c;1.5,dashdot</t>
  </si>
  <si>
    <t>VS150S-METAL</t>
  </si>
  <si>
    <t>SPSA</t>
  </si>
  <si>
    <t>VS150</t>
  </si>
  <si>
    <t>20;30;40;45;50;52</t>
  </si>
  <si>
    <t>10;20;30;40;50;60;70;80</t>
  </si>
  <si>
    <t>1000;900;800;700;600;500</t>
  </si>
  <si>
    <t>480;320;240;180</t>
  </si>
  <si>
    <t>{"unit_max_imp": "mm", "graph_unit_q": "ls", "graph_unit_h": "m", "graph_unit_npsh": "m", "graph_unit_pow": "kw", "legend_mode": "curve_labels", "custom_label_pos": {"spd_lbl_3": {"x": 140.85555555555555, "y": 11.76}, "eff_\u00d8900 mm": {"x": 586.44, "y": 48.71}, "pow_500 RPM": {"x": 367.02, "y": 9.72}, "eff_\u00d8500 mm": {"x": 325.8, "y": 46.21}, "eff_\u00d8600 mm": {"x": 409.76, "y": 60.71}, "spd_lbl_2": {"x": 160.62, "y": 14.87}, "500 RPM": {"x": 374.08, "y": 4.8}, "eff_spd_2": {"x": 150.85, "y": 47.85}, "eff_600 RPM": {"x": 389.3, "y": 47.06}, "eff_spd_3": {"x": 132.33, "y": 48.68}, "eff_500 RPM": {"x": 328.14, "y": 44.11}, "pow_700 RPM": {"x": 514.08, "y": 25.29}, "spd_lbl_0": {"x": 206.54, "y": 23.87}, "pow_800 RPM": {"x": 581.36, "y": 39.46}, "spd_lbl_1": {"x": 170.17, "y": 19.87}, "eff_spd_8": {"x": 436.58, "y": 54.62}, "spd_lbl_8": {"x": 345.08, "y": 6.54}, "eff_spd_6": {"x": 509.99, "y": 48.32}, "eff_spd_1": {"x": 167.62, "y": 48.4}, "spd_lbl_5": {"x": 105.23888888888891, "y": 4.6}, "spd_lbl_4": {"x": 124.4, "y": 7.84}, "pow_70_6": {"x": 545.36, "y": 25.1}, "eff_spd_0": {"x": 188.23, "y": 48.26}, "eff_spd_4": {"x": 111.36, "y": 48.82}, "pow_spd_1": {"x": 166.86, "y": 60.1}, "pow_spd_2": {"x": 156.24, "y": 43.02}, "pow_spd_3": {"x": 140.31, "y": 31.3}, "pow_spd_0": {"x": 195.68, "y": 81.25}, "pow_spd_4": {"x": 122.62, "y": 19.58}, "pow_spd_5": {"x": 99.62, "y": 7.37}, "eta_50_left": {"x": 296.95, "y": 35.53}, "eta_40_left": {"x": 210.44, "y": 37.95}, "eff_spd_5": {"x": 314.1, "y": 48.82}, "dia_lbl_1": {"x": 164.82222222222225, "y": 16.54}, "dia_lbl_2": {"x": 109.06666666666668, "y": 5.49}, "eta_45_left": {"x": 257.4, "y": 37.28}, "eta_50_6": {"x": 298.8, "y": 36.31}, "eta_52_7": {"x": 194.52222222222224, "y": 26.78}, "eta_30_left": {"x": 146.28, "y": 38.36}, "dia_lbl_3": {"x": 446.87, "y": 2.58}, "eta_20_left": {"x": 94.96, "y": 38.49}, "dia_lbl_0": {"x": 197.66666666666669, "y": 22.7}, "eff_dia_3": {"x": 102.34, "y": 52.17}, "eff_dia_2": {"x": 94.24722222222223, "y": 47.17}, "eff_dia_1": {"x": 125.40555555555557, "y": 43.83}, "eff_dia_0": {"x": 188.07222222222222, "y": 43.28}, "pow_dia_1": {"x": 133.45555555555558, "y": 23.58}, "pow_dia_0": {"x": 148.86111111111111, "y": 76.31}, "pow_dia_2": {"x": 105.10000000000001, "y": 11.38}, "pow_50_4": {"x": 413.93, "y": 25.2}, "pow_80_7": {"x": 638.03, "y": 22.85}, "pow_dia_3": {"x": 282.65, "y": 5.52}, "eta_40_right": {"x": 312.9, "y": 5.22}, "eta_52_left": {"x": 329.47, "y": 35.1}, "eta_52_right": {"x": 649.58, "y": 26.87}, "pow_20_1": {"x": 297.72, "y": 13.79}, "pow_40_3": {"x": 365.54, "y": 22.27}, "eta_45_right": {"x": 502.49, "y": 14.03}, "pow_30_2": {"x": 332.64, "y": 17.52}, "eta_50_right": {"x": 625.39, "y": 27.7}, "pow_10_0": {"x": 227.56, "y": 9.69}, "pow_600 RPM": {"x": 436.32, "y": 18.02}, "pow_900 RPM": {"x": 646.27, "y": 60.35}, "pow_1000 RPM": {"x": 711.79, "y": 89.74}, "undefined RPM": {"x": 174.89, "y": 20.17}, "1000 RPM": {"x": 710.24, "y": 23.52}, "600 RPM": {"x": 433.01, "y": 7.75}, "700 RPM": {"x": 490.54, "y": 10.85}, "800 RPM": {"x": 557.32, "y": 14.93}, "900 RPM": {"x": 625.39, "y": 19.18}, "eff_900 RPM": {"x": 588.71, "y": 44}, "eff_1000 RPM": {"x": 668.52, "y": 47}, "eff_700 RPM": {"x": 456.95, "y": 45.94}, "eff_800 RPM": {"x": 514.04, "y": 43.5}, "eff_500 RPM (50%)": {"x": 93.63, "y": 48.61}, "eff_600 RPM (60%)": {"x": 110.82, "y": 48.89}, "eff_700 RPM (70%)": {"x": 127.85, "y": 48.47}, "eff_800 RPM (80%)": {"x": 147.08, "y": 47.78}, "eff_900 RPM (90%)": {"x": 165.85, "y": 48.33}, "eff_1000 RPM (100%)": {"x": 182.36, "y": 48.75}, "pow_500 RPM (50%)": {"x": 100.59, "y": 14.11}, "pow_60_5": {"x": 444.85, "y": 27.87}, "\u00d8240 mm (50%)": {"x": 387.18, "y": 5.25}, "\u00d8180 mm (38%)": {"x": 302.47, "y": 2.45}, "\u00d8320 mm (67%)": {"x": 489.06, "y": 10.12}, "\u00d8480 mm (100%)": {"x": 695.66, "y": 24.13}, "eff_\u00d8180 mm (38%)": {"x": 64.12, "y": 48.11}, "eff_\u00d8240 mm (50%)": {"x": 324.14, "y": 42.56}, "eff_\u00d8320 mm (67%)": {"x": 440.1, "y": 43.67}, "eff_\u00d8480 mm (100%)": {"x": 653.11, "y": 42.78}, "pow_\u00d8480 mm (100%)": {"x": 720.14, "y": 85.35}, "pow_\u00d8320 mm (67%)": {"x": 470.05, "y": 22.85}, "pow_\u00d8180 mm (38%)": {"x": 311.54, "y": 3.91}, "pow_\u00d8240 mm (50%)": {"x": 387.18, "y": 11.57}}, "label_format": "simple"}</t>
  </si>
  <si>
    <t>{"spd_lbl_3": {"x": 140.85555555555555, "y": 11.76}, "eff_\u00d8900 mm": {"x": 586.44, "y": 48.71}, "pow_500 RPM": {"x": 367.02, "y": 9.72}, "eff_\u00d8500 mm": {"x": 325.8, "y": 46.21}, "eff_\u00d8600 mm": {"x": 409.76, "y": 60.71}, "spd_lbl_2": {"x": 160.62, "y": 14.87}, "500 RPM": {"x": 374.08, "y": 4.8}, "eff_spd_2": {"x": 150.85, "y": 47.85}, "eff_600 RPM": {"x": 389.3, "y": 47.06}, "eff_spd_3": {"x": 132.33, "y": 48.68}, "eff_500 RPM": {"x": 328.14, "y": 44.11}, "pow_700 RPM": {"x": 514.08, "y": 25.29}, "spd_lbl_0": {"x": 206.54, "y": 23.87}, "pow_800 RPM": {"x": 581.36, "y": 39.46}, "spd_lbl_1": {"x": 170.17, "y": 19.87}, "eff_spd_8": {"x": 436.58, "y": 54.62}, "spd_lbl_8": {"x": 345.08, "y": 6.54}, "eff_spd_6": {"x": 509.99, "y": 48.32}, "eff_spd_1": {"x": 167.62, "y": 48.4}, "spd_lbl_5": {"x": 105.23888888888891, "y": 4.6}, "spd_lbl_4": {"x": 124.4, "y": 7.84}, "pow_70_6": {"x": 545.36, "y": 25.1}, "eff_spd_0": {"x": 188.23, "y": 48.26}, "eff_spd_4": {"x": 111.36, "y": 48.82}, "pow_spd_1": {"x": 166.86, "y": 60.1}, "pow_spd_2": {"x": 156.24, "y": 43.02}, "pow_spd_3": {"x": 140.31, "y": 31.3}, "pow_spd_0": {"x": 195.68, "y": 81.25}, "pow_spd_4": {"x": 122.62, "y": 19.58}, "pow_spd_5": {"x": 99.62, "y": 7.37}, "eta_50_left": {"x": 296.95, "y": 35.53}, "eta_40_left": {"x": 210.44, "y": 37.95}, "eff_spd_5": {"x": 314.1, "y": 48.82}, "dia_lbl_1": {"x": 164.82222222222225, "y": 16.54}, "dia_lbl_2": {"x": 109.06666666666668, "y": 5.49}, "eta_45_left": {"x": 257.4, "y": 37.28}, "eta_50_6": {"x": 298.8, "y": 36.31}, "eta_52_7": {"x": 194.52222222222224, "y": 26.78}, "eta_30_left": {"x": 146.28, "y": 38.36}, "dia_lbl_3": {"x": 446.87, "y": 2.58}, "eta_20_left": {"x": 94.96, "y": 38.49}, "dia_lbl_0": {"x": 197.66666666666669, "y": 22.7}, "eff_dia_3": {"x": 102.34, "y": 52.17}, "eff_dia_2": {"x": 94.24722222222223, "y": 47.17}, "eff_dia_1": {"x": 125.40555555555557, "y": 43.83}, "eff_dia_0": {"x": 188.07222222222222, "y": 43.28}, "pow_dia_1": {"x": 133.45555555555558, "y": 23.58}, "pow_dia_0": {"x": 148.86111111111111, "y": 76.31}, "pow_dia_2": {"x": 105.10000000000001, "y": 11.38}, "pow_50_4": {"x": 413.93, "y": 25.2}, "pow_80_7": {"x": 638.03, "y": 22.85}, "pow_dia_3": {"x": 282.65, "y": 5.52}, "eta_40_right": {"x": 312.9, "y": 5.22}, "eta_52_left": {"x": 329.47, "y": 35.1}, "eta_52_right": {"x": 649.58, "y": 26.87}, "pow_20_1": {"x": 297.72, "y": 13.79}, "pow_40_3": {"x": 365.54, "y": 22.27}, "eta_45_right": {"x": 502.49, "y": 14.03}, "pow_30_2": {"x": 332.64, "y": 17.52}, "eta_50_right": {"x": 625.39, "y": 27.7}, "pow_10_0": {"x": 227.56, "y": 9.69}, "pow_600 RPM": {"x": 436.32, "y": 18.02}, "pow_900 RPM": {"x": 646.27, "y": 60.35}, "pow_1000 RPM": {"x": 711.79, "y": 89.74}, "undefined RPM": {"x": 174.89, "y": 20.17}, "1000 RPM": {"x": 710.24, "y": 23.52}, "600 RPM": {"x": 433.01, "y": 7.75}, "700 RPM": {"x": 490.54, "y": 10.85}, "800 RPM": {"x": 557.32, "y": 14.93}, "900 RPM": {"x": 625.39, "y": 19.18}, "eff_900 RPM": {"x": 588.71, "y": 44}, "eff_1000 RPM": {"x": 668.52, "y": 47}, "eff_700 RPM": {"x": 456.95, "y": 45.94}, "eff_800 RPM": {"x": 514.04, "y": 43.5}, "eff_500 RPM (50%)": {"x": 93.63, "y": 48.61}, "eff_600 RPM (60%)": {"x": 110.82, "y": 48.89}, "eff_700 RPM (70%)": {"x": 127.85, "y": 48.47}, "eff_800 RPM (80%)": {"x": 147.08, "y": 47.78}, "eff_900 RPM (90%)": {"x": 165.85, "y": 48.33}, "eff_1000 RPM (100%)": {"x": 182.36, "y": 48.75}, "pow_500 RPM (50%)": {"x": 100.59, "y": 14.11}, "pow_60_5": {"x": 444.85, "y": 27.87}, "\u00d8240 mm (50%)": {"x": 387.18, "y": 5.25}, "\u00d8180 mm (38%)": {"x": 302.47, "y": 2.45}, "\u00d8320 mm (67%)": {"x": 489.06, "y": 10.12}, "\u00d8480 mm (100%)": {"x": 695.66, "y": 24.13}, "eff_\u00d8180 mm (38%)": {"x": 64.12, "y": 48.11}, "eff_\u00d8240 mm (50%)": {"x": 324.14, "y": 42.56}, "eff_\u00d8320 mm (67%)": {"x": 440.1, "y": 43.67}, "eff_\u00d8480 mm (100%)": {"x": 653.11, "y": 42.78}, "pow_\u00d8480 mm (100%)": {"x": 720.14, "y": 85.35}, "pow_\u00d8320 mm (67%)": {"x": 470.05, "y": 22.85}, "pow_\u00d8180 mm (38%)": {"x": 311.54, "y": 3.91}, "pow_\u00d8240 mm (50%)": {"x": 387.18, "y": 11.57}}</t>
  </si>
  <si>
    <t>150SP</t>
  </si>
  <si>
    <t>1000.0;rpm</t>
  </si>
  <si>
    <t>ls,m,m,kw</t>
  </si>
  <si>
    <t>0,37.3,0,0,;22,37.2,20,0,40.14;35.2,36.86,30,0,42.43;54,36,40,0,47.68;65,35.35,45,0,50.09;82,34.15,50,0,54.94;90.5,33.45,52,0,57.11;135.5,29.2,55,0,70.57;181,24.4,51.89,0,83.49</t>
  </si>
  <si>
    <t>37.302156,0.00294195,-5.55862e-05,3.1747e-08,0,0,2.213968,0.23673272,-0.0002502779,0,0,0,0.0,0.0,0.0,0,0,0,36.0275,0.043395,8.859e-05,-6.66e-08,0,0,651.60,472.57</t>
  </si>
  <si>
    <t>Open</t>
  </si>
  <si>
    <t>API 610</t>
  </si>
  <si>
    <t>#ff57b9;2,solid</t>
  </si>
  <si>
    <t>INDEX_NO</t>
  </si>
  <si>
    <t>PumpFilter1</t>
  </si>
  <si>
    <t>PumpFilter2</t>
  </si>
  <si>
    <t>PumpFilter3</t>
  </si>
  <si>
    <t>PumpFilter4</t>
  </si>
  <si>
    <t>PumpFilter5</t>
  </si>
  <si>
    <t>PumpFilter6</t>
  </si>
  <si>
    <t>PumpFilter7</t>
  </si>
  <si>
    <t>PumpFilter8</t>
  </si>
  <si>
    <t>PumpFilter9</t>
  </si>
  <si>
    <t>PumpFilter10</t>
  </si>
  <si>
    <t>AltRange</t>
  </si>
  <si>
    <t>AltModel</t>
  </si>
  <si>
    <t>CURVES</t>
  </si>
  <si>
    <t>CURVES_E</t>
  </si>
  <si>
    <t>CURVES_NP</t>
  </si>
  <si>
    <t>POINTS</t>
  </si>
  <si>
    <t>AVAILABLE</t>
  </si>
  <si>
    <t>BORE</t>
  </si>
  <si>
    <t>SHAFT</t>
  </si>
  <si>
    <t>ANGLE_TRIM</t>
  </si>
  <si>
    <t>COUPLING</t>
  </si>
  <si>
    <t>SLURRY</t>
  </si>
  <si>
    <t>MSTAGE</t>
  </si>
  <si>
    <t>PER_STAGE</t>
  </si>
  <si>
    <t>VARN</t>
  </si>
  <si>
    <t>VARD</t>
  </si>
  <si>
    <t>VAR</t>
  </si>
  <si>
    <t>EFF</t>
  </si>
  <si>
    <t>FULL_NP</t>
  </si>
  <si>
    <t>IMP_IMP</t>
  </si>
  <si>
    <t>MOTOR_IMP</t>
  </si>
  <si>
    <t>NP_DOWN</t>
  </si>
  <si>
    <t>UNIT_FLOW</t>
  </si>
  <si>
    <t>CON_FLOW</t>
  </si>
  <si>
    <t>UNIT_HEAD</t>
  </si>
  <si>
    <t>CON_HEAD</t>
  </si>
  <si>
    <t>Q_MIN</t>
  </si>
  <si>
    <t>Q_MAX</t>
  </si>
  <si>
    <t>USER_EOC_MIN</t>
  </si>
  <si>
    <t>USER_EOC_MAX</t>
  </si>
  <si>
    <t>KW_MIN</t>
  </si>
  <si>
    <t>KW_MAX</t>
  </si>
  <si>
    <t>HD_MAX</t>
  </si>
  <si>
    <t>HD_MIN</t>
  </si>
  <si>
    <t>MAX_EFF</t>
  </si>
  <si>
    <t>MinAllow</t>
  </si>
  <si>
    <t>MaxAllow</t>
  </si>
  <si>
    <t>BEP_FLOW</t>
  </si>
  <si>
    <t>BEP_HEAD</t>
  </si>
  <si>
    <t>BEP_KW</t>
  </si>
  <si>
    <t>BEP_NP</t>
  </si>
  <si>
    <t>SO_HEAD</t>
  </si>
  <si>
    <t>SO_KW</t>
  </si>
  <si>
    <t>NS</t>
  </si>
  <si>
    <t>NSS</t>
  </si>
  <si>
    <t>B_DIAM</t>
  </si>
  <si>
    <t>EFF1</t>
  </si>
  <si>
    <t>EFF2</t>
  </si>
  <si>
    <t>EFF3</t>
  </si>
  <si>
    <t>MIN_IMP</t>
  </si>
  <si>
    <t>MAX_IMP</t>
  </si>
  <si>
    <t>IMP_TRACKWIDTH</t>
  </si>
  <si>
    <t>IMP_EYEDIAM</t>
  </si>
  <si>
    <t>MIN_SPEED</t>
  </si>
  <si>
    <t>MAX_SPEED</t>
  </si>
  <si>
    <t>MIN_STAGES</t>
  </si>
  <si>
    <t>MAX_STAGES</t>
  </si>
  <si>
    <t>MIN_TEMP</t>
  </si>
  <si>
    <t>MAX_TEMP</t>
  </si>
  <si>
    <t>MIN_VISC</t>
  </si>
  <si>
    <t>MAX_VISC</t>
  </si>
  <si>
    <t>N_TEST</t>
  </si>
  <si>
    <t>D_TEST</t>
  </si>
  <si>
    <t>N_GRAPH</t>
  </si>
  <si>
    <t>MTF_FLOW</t>
  </si>
  <si>
    <t>M_NAME</t>
  </si>
  <si>
    <t>M_KWM</t>
  </si>
  <si>
    <t>M_IMP</t>
  </si>
  <si>
    <t>M_HEAD0</t>
  </si>
  <si>
    <t>M_FLOW0</t>
  </si>
  <si>
    <t>M_FLOWMIN</t>
  </si>
  <si>
    <t>M_HEAD</t>
  </si>
  <si>
    <t>M_KW</t>
  </si>
  <si>
    <t>M_FLOW</t>
  </si>
  <si>
    <t>M_NP</t>
  </si>
  <si>
    <t>M_COQ</t>
  </si>
  <si>
    <t>M_COH</t>
  </si>
  <si>
    <t>M_COE</t>
  </si>
  <si>
    <t>M_CON</t>
  </si>
  <si>
    <t>M_SO_KW</t>
  </si>
  <si>
    <t>NEW_VER</t>
  </si>
  <si>
    <t>MAX_STG2</t>
  </si>
  <si>
    <t>MAX_SOLID</t>
  </si>
  <si>
    <t>D_PIPE</t>
  </si>
  <si>
    <t>CURVE_NO</t>
  </si>
  <si>
    <t>FRAME</t>
  </si>
  <si>
    <t>EXPEL1</t>
  </si>
  <si>
    <t>EXPEL2</t>
  </si>
  <si>
    <t>MAXP_W</t>
  </si>
  <si>
    <t>MAXP_S</t>
  </si>
  <si>
    <t>PRESS_FACT</t>
  </si>
  <si>
    <t>MAXP_BEARING</t>
  </si>
  <si>
    <t>PDF_NAME</t>
  </si>
  <si>
    <t>PD</t>
  </si>
  <si>
    <t>VISC</t>
  </si>
  <si>
    <t>ExternalNotes</t>
  </si>
  <si>
    <t>InternalNotes</t>
  </si>
  <si>
    <t>DesignerNotes</t>
  </si>
  <si>
    <t>WarningNotes</t>
  </si>
  <si>
    <t>PumpExtra0</t>
  </si>
  <si>
    <t>PumpExtra1</t>
  </si>
  <si>
    <t>PumpExtra2</t>
  </si>
  <si>
    <t>PumpExtra3</t>
  </si>
  <si>
    <t>PumpExtra4</t>
  </si>
  <si>
    <t>PumpExtra5</t>
  </si>
  <si>
    <t>PumpExtra6</t>
  </si>
  <si>
    <t>PumpExtra7</t>
  </si>
  <si>
    <t>PumpExtra8</t>
  </si>
  <si>
    <t>PumpExtra9</t>
  </si>
  <si>
    <t>PumpExtra10</t>
  </si>
  <si>
    <t>PumpExtra11</t>
  </si>
  <si>
    <t>PumpExtra12</t>
  </si>
  <si>
    <t>PumpExtra13</t>
  </si>
  <si>
    <t>PumpExtra14</t>
  </si>
  <si>
    <t>PumpExtra15</t>
  </si>
  <si>
    <t>PumpExtra16</t>
  </si>
  <si>
    <t>PumpExtra17</t>
  </si>
  <si>
    <t>PumpExtra18</t>
  </si>
  <si>
    <t>PumpExtra19</t>
  </si>
  <si>
    <t>PumpExtra20</t>
  </si>
  <si>
    <t>PumpExtra21</t>
  </si>
  <si>
    <t>PumpExtra22</t>
  </si>
  <si>
    <t>PumpExtra23</t>
  </si>
  <si>
    <t>PumpExtra24</t>
  </si>
  <si>
    <t>PumpExtra25</t>
  </si>
  <si>
    <t>PumpExtra26</t>
  </si>
  <si>
    <t>PumpExtra27</t>
  </si>
  <si>
    <t>PumpExtra28</t>
  </si>
  <si>
    <t>PumpExtra29</t>
  </si>
  <si>
    <t>PumpExtra30</t>
  </si>
  <si>
    <t>PumpExtra31</t>
  </si>
  <si>
    <t>PumpExtra32</t>
  </si>
  <si>
    <t>PumpExtra33</t>
  </si>
  <si>
    <t>PumpExtra34</t>
  </si>
  <si>
    <t>PumpExtra35</t>
  </si>
  <si>
    <t>PumpExtra36</t>
  </si>
  <si>
    <t>PumpExtra37</t>
  </si>
  <si>
    <t>PumpExtra38</t>
  </si>
  <si>
    <t>PumpExtra39</t>
  </si>
  <si>
    <t>M_COISO</t>
  </si>
  <si>
    <t>M_INCISO</t>
  </si>
  <si>
    <t>M_TOPISO</t>
  </si>
  <si>
    <t>M_BOTISO</t>
  </si>
  <si>
    <t>Polynomial</t>
  </si>
  <si>
    <t>M_EFF</t>
  </si>
  <si>
    <t>M_DIAM</t>
  </si>
  <si>
    <t>M_MULTI</t>
  </si>
  <si>
    <t>M_PLOT</t>
  </si>
  <si>
    <t>X_MIN</t>
  </si>
  <si>
    <t>X_MAX</t>
  </si>
  <si>
    <t>X_INT</t>
  </si>
  <si>
    <t>X_1</t>
  </si>
  <si>
    <t>X_2</t>
  </si>
  <si>
    <t>H_MIN</t>
  </si>
  <si>
    <t>H_MAX</t>
  </si>
  <si>
    <t>H_INT</t>
  </si>
  <si>
    <t>H_1</t>
  </si>
  <si>
    <t>H_2</t>
  </si>
  <si>
    <t>E_MIN</t>
  </si>
  <si>
    <t>E_MAX</t>
  </si>
  <si>
    <t>E_INT</t>
  </si>
  <si>
    <t>E_1</t>
  </si>
  <si>
    <t>E_2</t>
  </si>
  <si>
    <t>KW_MIN1</t>
  </si>
  <si>
    <t>KW_MAX1</t>
  </si>
  <si>
    <t>KW_1</t>
  </si>
  <si>
    <t>KW_2</t>
  </si>
  <si>
    <t>KW_INT</t>
  </si>
  <si>
    <t>NP_MIN</t>
  </si>
  <si>
    <t>NP_MAX</t>
  </si>
  <si>
    <t>NP_INT</t>
  </si>
  <si>
    <t>NP_1</t>
  </si>
  <si>
    <t>NP_2</t>
  </si>
  <si>
    <t>N_MIN</t>
  </si>
  <si>
    <t>N_MAX</t>
  </si>
  <si>
    <t>N_INT</t>
  </si>
  <si>
    <t>CURVE_CREATED_DATE</t>
  </si>
  <si>
    <t>CURVE_REV_DETAILS</t>
  </si>
  <si>
    <t>CREATED_BY</t>
  </si>
  <si>
    <t>UPDATED_BY</t>
  </si>
  <si>
    <t>BUILD_DESIGNATION</t>
  </si>
  <si>
    <t>CASING_MOUNTING</t>
  </si>
  <si>
    <t>SUCT_DIAM</t>
  </si>
  <si>
    <t>DIS_DIAM</t>
  </si>
  <si>
    <t>MAX_CW</t>
  </si>
  <si>
    <t>CURVE_REV</t>
  </si>
  <si>
    <t>CURVE_DATE</t>
  </si>
  <si>
    <t>Image</t>
  </si>
  <si>
    <t>GA</t>
  </si>
  <si>
    <t>DesignNotes</t>
  </si>
  <si>
    <t>CON_KW</t>
  </si>
  <si>
    <t>M_KW0</t>
  </si>
  <si>
    <t>M_KW1</t>
  </si>
  <si>
    <t>M_NP1</t>
  </si>
  <si>
    <t>ORDER1</t>
  </si>
  <si>
    <t>ORDER2</t>
  </si>
  <si>
    <t>ORDER3</t>
  </si>
  <si>
    <t>ORDER4</t>
  </si>
  <si>
    <t>M_LABEL</t>
  </si>
  <si>
    <t>M_LINE</t>
  </si>
  <si>
    <t>M_KWISO</t>
  </si>
  <si>
    <t>M_NPISO</t>
  </si>
  <si>
    <t>MIN_ORFD</t>
  </si>
  <si>
    <t>MAX_ORFD</t>
  </si>
  <si>
    <t>QMIN_HEAD</t>
  </si>
  <si>
    <t>120BEP_HEAD</t>
  </si>
  <si>
    <t>120BEP_KW</t>
  </si>
  <si>
    <t>CURVE_APPROVED_BY</t>
  </si>
  <si>
    <t>CURVE_APPROVED_DATE</t>
  </si>
  <si>
    <t>PumpExtra40</t>
  </si>
  <si>
    <t>PumpExtra41</t>
  </si>
  <si>
    <t>PumpExtra42</t>
  </si>
  <si>
    <t>PumpExtra43</t>
  </si>
  <si>
    <t>PumpExtra44</t>
  </si>
  <si>
    <t>PumpExtra45</t>
  </si>
  <si>
    <t>PumpExtra46</t>
  </si>
  <si>
    <t>PumpExtra47</t>
  </si>
  <si>
    <t>PumpExtra48</t>
  </si>
  <si>
    <t>PumpExtra49</t>
  </si>
  <si>
    <t>PumpExtra50</t>
  </si>
  <si>
    <t>PumpExtra51</t>
  </si>
  <si>
    <t>PumpExtra52</t>
  </si>
  <si>
    <t>PumpExtra53</t>
  </si>
  <si>
    <t>PumpExtra54</t>
  </si>
  <si>
    <t>PumpExtra55</t>
  </si>
  <si>
    <t>PumpExtra56</t>
  </si>
  <si>
    <t>PumpExtra57</t>
  </si>
  <si>
    <t>PumpExtra58</t>
  </si>
  <si>
    <t>PumpExtra59</t>
  </si>
  <si>
    <t>PumpExtra60</t>
  </si>
  <si>
    <t>PumpExtra61</t>
  </si>
  <si>
    <t>PumpExtra62</t>
  </si>
  <si>
    <t>PumpExtra63</t>
  </si>
  <si>
    <t>PumpExtra64</t>
  </si>
  <si>
    <t>PumpExtra65</t>
  </si>
  <si>
    <t>PumpExtra66</t>
  </si>
  <si>
    <t>PumpExtra67</t>
  </si>
  <si>
    <t>PumpExtra68</t>
  </si>
  <si>
    <t>PumpExtra69</t>
  </si>
  <si>
    <t>MAX_EFF_DB</t>
  </si>
  <si>
    <t>BEP_FLOW_DB</t>
  </si>
  <si>
    <t>BEP_HEAD_DB</t>
  </si>
  <si>
    <t>BEP_KW_DB</t>
  </si>
  <si>
    <t>BEP_NP_DB</t>
  </si>
  <si>
    <t>M_EFFISO</t>
  </si>
  <si>
    <t>ISO_ERROR</t>
  </si>
  <si>
    <t>ISO_MULTIPLIER</t>
  </si>
  <si>
    <t>ISO_TOP</t>
  </si>
  <si>
    <t>ISO_BOT</t>
  </si>
  <si>
    <t>UNIT_PRESSURE</t>
  </si>
  <si>
    <t>M_SPEED</t>
  </si>
  <si>
    <t>M_CAL</t>
  </si>
  <si>
    <t>M_GRAPH_MODE</t>
  </si>
  <si>
    <t>M_GRAPH_IMG_PATH</t>
  </si>
  <si>
    <t>OrfBEP</t>
  </si>
  <si>
    <t>DBL_SUCTION</t>
  </si>
  <si>
    <t>SELF_PRIMING</t>
  </si>
  <si>
    <t>BEOC_KW</t>
  </si>
  <si>
    <t>BEOC_NP</t>
  </si>
  <si>
    <t>BEP_CURVENO</t>
  </si>
  <si>
    <t>2 AF-M</t>
  </si>
  <si>
    <t>OPEN</t>
  </si>
  <si>
    <t>AF</t>
  </si>
  <si>
    <t>METAL</t>
  </si>
  <si>
    <t>WPG2AF31</t>
  </si>
  <si>
    <t>WARMAN</t>
  </si>
  <si>
    <t>N/A</t>
  </si>
  <si>
    <t>l/sec</t>
  </si>
  <si>
    <t>30.15;29.95;29.5;28.35;27;25;22.8</t>
  </si>
  <si>
    <t>0;20;30;40;45;47;45</t>
  </si>
  <si>
    <t>0;2.6;4.5;7.25;9.6;12;14.2</t>
  </si>
  <si>
    <t xml:space="preserve">      30.152      .00754   -.0331063 -.000176159  -7.015E-06</t>
  </si>
  <si>
    <t xml:space="preserve">       0.002     9.44679  -0.7765408 0.041264318-0.001247287</t>
  </si>
  <si>
    <t xml:space="preserve">           0           0           0           0           0</t>
  </si>
  <si>
    <t>VF50 (5)</t>
  </si>
  <si>
    <t>curves\af\2 af-m</t>
  </si>
  <si>
    <t>2 AF</t>
  </si>
  <si>
    <t>BAF2127</t>
  </si>
  <si>
    <t>QV</t>
  </si>
  <si>
    <t>Curve loaded from Warman / Weir printed curve</t>
  </si>
  <si>
    <t>Gugu Khoza</t>
  </si>
  <si>
    <t>Pieter du Plessis</t>
  </si>
  <si>
    <t>A</t>
  </si>
  <si>
    <t>20;30;40;45;47;</t>
  </si>
  <si>
    <t>bar a</t>
  </si>
  <si>
    <t>800;1000;1200;1400;1600;1800</t>
  </si>
  <si>
    <t>3 AF-M</t>
  </si>
  <si>
    <t>WPG3AF31</t>
  </si>
  <si>
    <t>29.5;28.9;28.5;27.9;26.8;25.5;23.8;22.5</t>
  </si>
  <si>
    <t>0;20;30;40;50;55;57;55</t>
  </si>
  <si>
    <t>0;6.3;10.35;15;22.2;28.6;35.1;40</t>
  </si>
  <si>
    <t xml:space="preserve">      29.504      -.5241     .056773 -.022697513  .001260996</t>
  </si>
  <si>
    <t xml:space="preserve">       -0.03    18.16803  -1.9086488 0.102655657-0.005036493</t>
  </si>
  <si>
    <t>VF80 (5)</t>
  </si>
  <si>
    <t>curves\af\3 af-m</t>
  </si>
  <si>
    <t>3 AF</t>
  </si>
  <si>
    <t>CAF3127</t>
  </si>
  <si>
    <t>20;30;40;50;55;57;</t>
  </si>
  <si>
    <t>700;900;1100;1300;1500;1500</t>
  </si>
  <si>
    <t>4 AF-M</t>
  </si>
  <si>
    <t>WPG4AF31</t>
  </si>
  <si>
    <t>29.5;28.8;28.6;28.2;27.45;26.45;23.7;21.3</t>
  </si>
  <si>
    <t>0;20;30;40;50;55;58;55</t>
  </si>
  <si>
    <t>0;7;12.2;19.1;27.8;36;52;62</t>
  </si>
  <si>
    <t xml:space="preserve">      29.468     -.50128    .0821462 -.012479172  .000390048</t>
  </si>
  <si>
    <t xml:space="preserve">       0.206    16.02869  -1.7999602 0.111659393-0.003390102</t>
  </si>
  <si>
    <t>VF100 (5)</t>
  </si>
  <si>
    <t>curves\af\4 af-m</t>
  </si>
  <si>
    <t>4 AF</t>
  </si>
  <si>
    <t>RAF4127</t>
  </si>
  <si>
    <t>RV</t>
  </si>
  <si>
    <t>20;30;40;50;55;58;</t>
  </si>
  <si>
    <t>500;600;700;800;900;1000;1100</t>
  </si>
  <si>
    <t>6 AF-M</t>
  </si>
  <si>
    <t>WPG6AF31</t>
  </si>
  <si>
    <t>25.18;25.27;25.1;24.6;24.15;23.3;21.76;20;18.25</t>
  </si>
  <si>
    <t>0;20;30;40;45;50;55;56;55</t>
  </si>
  <si>
    <t>0;20;33;47.7;58.3;72.7;93.3;109;124</t>
  </si>
  <si>
    <t xml:space="preserve">      25.184      .15933   -.0602478  .000732081 -4.4993E-05</t>
  </si>
  <si>
    <t xml:space="preserve">       -0.02    11.36445   -0.712349 0.016491273-0.000328763</t>
  </si>
  <si>
    <t>VF150 (5)</t>
  </si>
  <si>
    <t>curves\af\6 af-m</t>
  </si>
  <si>
    <t>6 AF</t>
  </si>
  <si>
    <t>SAF6127</t>
  </si>
  <si>
    <t>SV</t>
  </si>
  <si>
    <t>20;30;40;45;50;55;56;</t>
  </si>
  <si>
    <t>350;400;450;500;550;600;650;700</t>
  </si>
  <si>
    <t>20/18-HDM450G-RUBBER</t>
  </si>
  <si>
    <t>CLOSED</t>
  </si>
  <si>
    <t>AH</t>
  </si>
  <si>
    <t>RUBBER</t>
  </si>
  <si>
    <t>WPG2018AH32</t>
  </si>
  <si>
    <t>WIP</t>
  </si>
  <si>
    <t>20/18-HDM450G-RUBBER;20/18-HDM450G-RUBBER;20/18-HDM450G-RUBBER</t>
  </si>
  <si>
    <t xml:space="preserve">  200.00  275.00  350.00</t>
  </si>
  <si>
    <t xml:space="preserve">    14.9      28    45.4</t>
  </si>
  <si>
    <t xml:space="preserve">   911.2    1253    1603</t>
  </si>
  <si>
    <t>14.9;14.9;14.8;14.7;14.3;13.9;13;11.9;10.6|28;28.1;28;27.7;27;26.2;24.6;22.3;19.8|45.4;45.4;45.2;44.7;43.7;42.6;39.8;35.9;32.1</t>
  </si>
  <si>
    <t>0;40;50;60;70;75;80;82;80|0;40;50;60;70;75;80;82;80|0;40;50;60;70;75;80;82;80</t>
  </si>
  <si>
    <t>0;115.3;167.4;252.9;334.7;416.5;576.4;728.9;911.2|0;171.1;245.5;342.1;461.2;569;773.6;1012;1253|0;219.4;316.1;431.4;587.6;721.5;974.4;1298;1603</t>
  </si>
  <si>
    <t>0.9;0.9;0.9;1.1;1.2;1.4;1.9;2.6;3.4|0;0;0;0;0;0;0;0;0|2.6;2.6;2.7;3;3.5;4.1;5.5;7.7;10.1</t>
  </si>
  <si>
    <t xml:space="preserve">  25 100 100</t>
  </si>
  <si>
    <t xml:space="preserve">      14.895      .02876   -.0058599   3.137E-05    5.21E-07       27.99      .32671   -.1511125  .008107264 -.000182877      45.386      .22914   -.0945354  .000647033  7.0824E-05</t>
  </si>
  <si>
    <t xml:space="preserve">       0.474    10.68737  -0.6000358 0.016358409 -0.00017288        0.21    29.17064  -4.2724331  0.30343515-0.008597166       0.185    22.70739  -2.5613331 0.139390356-0.003032344</t>
  </si>
  <si>
    <t xml:space="preserve">       0.891    -0.00499   0.0016591  4.3919E-05   -9.27E-07           0           0           0           0           0       2.603    -0.12091   0.0536482-0.001192844   8.512E-06</t>
  </si>
  <si>
    <t xml:space="preserve">    0.00    0.00    0.00</t>
  </si>
  <si>
    <t>WPG 2018AH32</t>
  </si>
  <si>
    <t>HDM450147G-RU</t>
  </si>
  <si>
    <t>20/18</t>
  </si>
  <si>
    <t>GAM</t>
  </si>
  <si>
    <t>GGAM</t>
  </si>
  <si>
    <t>H</t>
  </si>
  <si>
    <t xml:space="preserve">       0       0       0       0       0       0       0       0</t>
  </si>
  <si>
    <t xml:space="preserve">   0   0   0   0   0   0   0   0   0   0   0   0   0   0   0   0</t>
  </si>
  <si>
    <t xml:space="preserve"> 40.0 50.0 60.0 70.0 75.0 80.0  0.0  0.0</t>
  </si>
  <si>
    <t xml:space="preserve">     200     225     250     275     300     325     350       0</t>
  </si>
  <si>
    <t>49;533;0;1800|461;11;0;50||616;504;0;12</t>
  </si>
  <si>
    <t>20_18-HDM450G-RUBBER.png</t>
  </si>
  <si>
    <t>10 AHF-M</t>
  </si>
  <si>
    <t>AHF</t>
  </si>
  <si>
    <t>WPG10AHF30</t>
  </si>
  <si>
    <t>73;73.13;73.1;72.6;71.25;68.5;62;54.2</t>
  </si>
  <si>
    <t>0;40;50;60;70;75;78;75</t>
  </si>
  <si>
    <t>0;130;180;251;362;459;620;750</t>
  </si>
  <si>
    <t>2.5;2.5;3;4;5;6;8;11</t>
  </si>
  <si>
    <t xml:space="preserve">      72.994      .04219    .0046468 -.001374498  1.5899E-05</t>
  </si>
  <si>
    <t xml:space="preserve">       0.003    10.22832  -0.5645459 0.016107987-0.000195913</t>
  </si>
  <si>
    <t xml:space="preserve">       2.478    -0.20613   0.0569788  -0.0027951  4.8033E-05</t>
  </si>
  <si>
    <t>HDF250 (8)</t>
  </si>
  <si>
    <t>curves\ahf\10 ahf-m</t>
  </si>
  <si>
    <t>10 AHF</t>
  </si>
  <si>
    <t>GAHF10053QU1</t>
  </si>
  <si>
    <t>FM</t>
  </si>
  <si>
    <t>FFM</t>
  </si>
  <si>
    <t>G</t>
  </si>
  <si>
    <t>40;50;60;70;75;78;</t>
  </si>
  <si>
    <t>400;450;500;550;600;650;700;750;800</t>
  </si>
  <si>
    <t>2 AHF-M</t>
  </si>
  <si>
    <t>WPG2AHF30</t>
  </si>
  <si>
    <t>57;56.95;56.5;56.1;55.6;54.9;54;52.5;50.8;48.5</t>
  </si>
  <si>
    <t>0;20;30;35;40;45;50;55;57;55</t>
  </si>
  <si>
    <t>0;6.1;10;12.4;15;18;21.5;27;33.25;39.8</t>
  </si>
  <si>
    <t>1.6;1.6;2.15;2.5;2.85;3.34;4;6.6</t>
  </si>
  <si>
    <t xml:space="preserve">      56.989      .48084   -.4624397  .056453688 -.002858407</t>
  </si>
  <si>
    <t xml:space="preserve">       0.046    18.62652   -2.106916 0.141923648-0.007830994</t>
  </si>
  <si>
    <t xml:space="preserve">       1.601    -0.96592   1.1294553-0.319578918 0.032458602</t>
  </si>
  <si>
    <t>HDF50 (4)</t>
  </si>
  <si>
    <t>curves\ahf\2 ahf-m</t>
  </si>
  <si>
    <t>2 AHF</t>
  </si>
  <si>
    <t>CAHF2056QU1</t>
  </si>
  <si>
    <t>C</t>
  </si>
  <si>
    <t>CC</t>
  </si>
  <si>
    <t>20;30;35;40;45;50;55;</t>
  </si>
  <si>
    <t>1000;1200;1400;1600;1800;2000;2200;2400;2600</t>
  </si>
  <si>
    <t>3 AHF-M</t>
  </si>
  <si>
    <t>WPG3AHF30</t>
  </si>
  <si>
    <t>52.8;53.3;53.5;53.5;53.3;53;52.5;51.3;49;46.8;44.4</t>
  </si>
  <si>
    <t>0;20;30;40;45;50;55;60;62;60;55</t>
  </si>
  <si>
    <t>0;10;16.3;24.4;29;34;40.8;50.2;62.3;73.1;85</t>
  </si>
  <si>
    <t>1.1;1.1;1.9;2.55;2.9;3.4;4;4.9</t>
  </si>
  <si>
    <t xml:space="preserve">       52.81      .26297    .0007277 -.006522072  .000226885</t>
  </si>
  <si>
    <t xml:space="preserve">       0.173    10.91508  -0.6117917 0.014331562-0.000292896</t>
  </si>
  <si>
    <t xml:space="preserve">       1.083    -0.31765   0.2486281-0.031683685 0.001379965</t>
  </si>
  <si>
    <t>HDF80 (4)</t>
  </si>
  <si>
    <t>curves\ahf\3 ahf-m</t>
  </si>
  <si>
    <t>3 AHF</t>
  </si>
  <si>
    <t>DAHF3056QU1</t>
  </si>
  <si>
    <t>CM</t>
  </si>
  <si>
    <t>CCM</t>
  </si>
  <si>
    <t>D</t>
  </si>
  <si>
    <t>20;30;40;45;50;55;60;</t>
  </si>
  <si>
    <t>800;1000;1200;1400;1600;1800;2000;2200</t>
  </si>
  <si>
    <t>4 AHF-M</t>
  </si>
  <si>
    <t>WPG4AHF30</t>
  </si>
  <si>
    <t>68.8;66.8;66.05;65.5;64.8;64;63.2;60.8;56.9</t>
  </si>
  <si>
    <t>0;20;30;40;50;60;64;66;64</t>
  </si>
  <si>
    <t>0;15.5;24.4;37.6;50;73.5;91;114.3;136.2</t>
  </si>
  <si>
    <t>1.8;1.8;2.07;2.3;2.7;3.6;4.7;5.9</t>
  </si>
  <si>
    <t xml:space="preserve">      68.779    -1.56025     .223878 -.014283658  .000114173</t>
  </si>
  <si>
    <t xml:space="preserve">        0.02    14.58126   -1.113496 0.037417156-0.000655933</t>
  </si>
  <si>
    <t xml:space="preserve">       1.777     0.04602   0.0115112 0.004186208-0.000242973</t>
  </si>
  <si>
    <t>HDF100 (4)</t>
  </si>
  <si>
    <t>curves\ahf\4 ahf-m</t>
  </si>
  <si>
    <t>4 AHF</t>
  </si>
  <si>
    <t>EAHF4056QU1</t>
  </si>
  <si>
    <t>DD</t>
  </si>
  <si>
    <t>E</t>
  </si>
  <si>
    <t>20;30;40;50;60;64;66;</t>
  </si>
  <si>
    <t>500;700;900;1100;1300;1500;1600</t>
  </si>
  <si>
    <t>6 AHF-M</t>
  </si>
  <si>
    <t>WPG6AHF30</t>
  </si>
  <si>
    <t>60.8;62.05;62.15;62.15;62;61.3;59.9;56;49.2;44.8</t>
  </si>
  <si>
    <t>0;30;40;50;55;60;62;63.5;62;60</t>
  </si>
  <si>
    <t>0;60;90;137.5;171;215;270.5;317;360;376</t>
  </si>
  <si>
    <t>2.8;2.8;3;3.49;3.85;4.8;6;8</t>
  </si>
  <si>
    <t xml:space="preserve">      60.768     1.19329   -.3484254  .041935044  -.00190701</t>
  </si>
  <si>
    <t xml:space="preserve">      -0.018    16.34694  -1.8223482 0.108044201-0.002754578</t>
  </si>
  <si>
    <t xml:space="preserve">       2.805    -0.19002   0.0955121-0.009364207 0.000437904</t>
  </si>
  <si>
    <t>HDF150 (4)</t>
  </si>
  <si>
    <t>curves\ahf\6 ahf-m</t>
  </si>
  <si>
    <t>6 AHF</t>
  </si>
  <si>
    <t>FAHF6056QU1</t>
  </si>
  <si>
    <t>EM</t>
  </si>
  <si>
    <t>EEM</t>
  </si>
  <si>
    <t>F</t>
  </si>
  <si>
    <t>30;40;50;55;60;62;63.5;</t>
  </si>
  <si>
    <t>400;600;800;1000;1100</t>
  </si>
  <si>
    <t>8 AHF-M</t>
  </si>
  <si>
    <t>WPG8AHF30</t>
  </si>
  <si>
    <t>62.2;62.2;62;61.3;60.6;58.3;55;49.3;42.7</t>
  </si>
  <si>
    <t>0;40;50;60;65;70;71.5;70;65</t>
  </si>
  <si>
    <t>0;100;140;198;245;335;415;520;620</t>
  </si>
  <si>
    <t>2.5;2.5;3;4;5;6;8;11;0</t>
  </si>
  <si>
    <t xml:space="preserve">      62.214      .01328      .00237 -.002513109  4.4999E-05</t>
  </si>
  <si>
    <t xml:space="preserve">      -0.006    13.38526  -0.9666864 0.032920758-0.000461441</t>
  </si>
  <si>
    <t xml:space="preserve">       2.484    -0.32139   0.1092623-0.006965208 0.000163678</t>
  </si>
  <si>
    <t>HDF200 (8)</t>
  </si>
  <si>
    <t>curves\ahf\8 ahf-m</t>
  </si>
  <si>
    <t>8 AHF</t>
  </si>
  <si>
    <t>FAHF8053QU1</t>
  </si>
  <si>
    <t xml:space="preserve"> 40.0 50.0 60.0 65.0 70.0 71.5  0.0  0.0</t>
  </si>
  <si>
    <t xml:space="preserve">     400     500     550     600     650     700     750     800</t>
  </si>
  <si>
    <t>|||</t>
  </si>
  <si>
    <t>AL20MG-460</t>
  </si>
  <si>
    <t>AL</t>
  </si>
  <si>
    <t>AL20MG-460;AL20MG-460;AL20MG-460</t>
  </si>
  <si>
    <t xml:space="preserve">  600.00 1350.00 1600.00</t>
  </si>
  <si>
    <t xml:space="preserve">    14.1    71.8   102.1</t>
  </si>
  <si>
    <t xml:space="preserve">   124.6   260.3     300</t>
  </si>
  <si>
    <t>14.1;14.1;13.3;12.9;12.5;11.6;11.6;10;8.7|71.8;70.6;68.9;67.2;64.8;62.3;57.7;53.1;49;46.5|102.1;99.2;96.3;93.8;90.9;88;84.7;81.4;78;74.3;69.7;67.7</t>
  </si>
  <si>
    <t>0;50;60;65;69;71;71.5;71;68|0;50;60;65;69;73;71.1;71;69;68|0;50;60;65;69;71;72;72.4;72;71;69;68</t>
  </si>
  <si>
    <t>0;30.4;43.4;52.7;63.8;76.9;93.6;108.5;124.6|0;68.8;94.8;114.7;137.6;157.4;191.5;222.5;249.8;260.3|0;81.8;113.4;135.7;161.8;182.9;201.4;221.3;244.2;264;290.1;300</t>
  </si>
  <si>
    <t>1.2;1.1;1.1;1.1;1.2;1.3;1.6;1.8;2.2|6;5.9;6;5.7;5.5;5.7;6.7;8.2;9.8;10.5|8.7;8.5;8.3;7.9;7.8;8;8.5;9.1;10.1;11.2;13.2;13.9</t>
  </si>
  <si>
    <t xml:space="preserve">  10  25  25</t>
  </si>
  <si>
    <t xml:space="preserve">      14.111      .59782   -.2991066  .034302241 -.001362988      71.788      .82068   -.5172454  .029496215 -.000918237     102.102      .07837     -.31258  .002764903  .000240099</t>
  </si>
  <si>
    <t xml:space="preserve">       0.006    24.42908  -3.1893524 0.196451817-0.005029482       0.024    25.11229  -2.8637228 0.113204986-0.000912509       0.006    21.99576  -2.4343122 0.124315112-0.002906178</t>
  </si>
  <si>
    <t xml:space="preserve">       1.201    -0.04725  -0.0003347 0.001506306 -5.3248E-05       5.985     0.69725  -0.3670413 0.050920949 -0.00173615       8.694     0.62261  -0.3060652 0.035462328 -0.00093691</t>
  </si>
  <si>
    <t xml:space="preserve">PC370 rev 1 </t>
  </si>
  <si>
    <t>MG</t>
  </si>
  <si>
    <t>AL200145ME-CR</t>
  </si>
  <si>
    <t>200 mm</t>
  </si>
  <si>
    <t>AL005ME</t>
  </si>
  <si>
    <t xml:space="preserve">     460       460     460     460     460     460     460     460</t>
  </si>
  <si>
    <t xml:space="preserve">TAS ONLINE </t>
  </si>
  <si>
    <t xml:space="preserve"> 50.0 60.0 65.0 69.0 71.0 72.0  0.0  0.0</t>
  </si>
  <si>
    <t xml:space="preserve">     600     750     900    1050    1200    1350    1500    1600</t>
  </si>
  <si>
    <t>40;524;0;300|283;18;0;110||628;505;0;15</t>
  </si>
  <si>
    <t>AL20MG-460.png</t>
  </si>
  <si>
    <t>150 C5-M</t>
  </si>
  <si>
    <t>C5</t>
  </si>
  <si>
    <t>FP5CHP</t>
  </si>
  <si>
    <t>118;124;124.5;122.7;120.5;109.4;89;82.5</t>
  </si>
  <si>
    <t>0;50;60;64;66;70;66;0</t>
  </si>
  <si>
    <t>0;40;59.8;80;92;129.5;169.5;180</t>
  </si>
  <si>
    <t>2.5;2.5;2.5;2.6;2.8;5.67;10;10</t>
  </si>
  <si>
    <t xml:space="preserve">     117.996     2.31911   -.1803017 -.005623261  .000132715</t>
  </si>
  <si>
    <t xml:space="preserve">      -0.024    20.86305  -2.6645207 0.163469853 -0.00385412</t>
  </si>
  <si>
    <t xml:space="preserve">       2.472     0.62866   -0.230187 0.024325088-0.000675292</t>
  </si>
  <si>
    <t>DW150C (4)</t>
  </si>
  <si>
    <t>curves\c5\150 c5-m</t>
  </si>
  <si>
    <t>150 C5</t>
  </si>
  <si>
    <t>IMPC5</t>
  </si>
  <si>
    <t>150C</t>
  </si>
  <si>
    <t>50;60;64;66;70;</t>
  </si>
  <si>
    <t>1000;1100;1200;1300;1400;1500;1600</t>
  </si>
  <si>
    <t>CP150i 285</t>
  </si>
  <si>
    <t>DEWATERING</t>
  </si>
  <si>
    <t>DIESEL DRIVEN</t>
  </si>
  <si>
    <t>-</t>
  </si>
  <si>
    <t>CP150i</t>
  </si>
  <si>
    <t>59.9;57.4;53.9;50.8;45.6;40.3;32.9;27.8</t>
  </si>
  <si>
    <t>0;30;53;65;74;75;74;68.93</t>
  </si>
  <si>
    <t>0;26.3;54.9;78.8;105.5;127.7;153.1;165.3</t>
  </si>
  <si>
    <t>1.5;1.5;1.6;2.3;3.2;4.5;6.1;6.8</t>
  </si>
  <si>
    <t xml:space="preserve">      59.891      -.8315    -.047216  .001667029 -.000171976</t>
  </si>
  <si>
    <t xml:space="preserve">      -0.057    13.61879  -0.8856632 0.033222542 -0.00085437</t>
  </si>
  <si>
    <t xml:space="preserve">       1.502     0.00397  -0.0148438 0.004319097 -0.00013668</t>
  </si>
  <si>
    <t xml:space="preserve"> 53.0 65.0 72.0 74.0  0.0  0.0  0.0  0.0</t>
  </si>
  <si>
    <t xml:space="preserve">    1400    1600    1800    2000    2200       0       0       0</t>
  </si>
  <si>
    <t>49;544;0;200|524;38;0;65||599;524;0;10</t>
  </si>
  <si>
    <t>CP150i_285.png</t>
  </si>
  <si>
    <t>HH130i</t>
  </si>
  <si>
    <t>HH130i;HH130i</t>
  </si>
  <si>
    <t xml:space="preserve"> 1800.00 2000.00</t>
  </si>
  <si>
    <t xml:space="preserve">   120.2   148.4</t>
  </si>
  <si>
    <t xml:space="preserve">    79.6    87.9</t>
  </si>
  <si>
    <t>120.2;116.5;112.3;106.7;101;93.7;86.3|148.4;144;141.7;132.6;123.6;115.4;106.4</t>
  </si>
  <si>
    <t>0;38.45;57.69;58;59;54.58;48|0;41.41;52.79;59.45;60;56;52</t>
  </si>
  <si>
    <t>0;20.2;39.3;52.8;61.9;71.3;79.6|0;22;34.2;57.1;71.1;79.4;87.9</t>
  </si>
  <si>
    <t>0;0;0;0;0;0;0|1.5;1.7;1.7;2.5;3;3.7;6.5</t>
  </si>
  <si>
    <t xml:space="preserve">   5   5</t>
  </si>
  <si>
    <t xml:space="preserve">     120.204    -1.47814    .2375264 -.027233778  .000611685     148.394     -1.3515    .1463752 -.015171591  .000197835</t>
  </si>
  <si>
    <t xml:space="preserve">      -0.062    12.65459    -0.81049 0.016252474-0.000207169       -0.02    14.01992  -1.2647921 0.057351752-0.001206941</t>
  </si>
  <si>
    <t xml:space="preserve">           0           0           0           0           0       1.525     -0.4757   0.1724101 -0.01747358 0.000574455</t>
  </si>
  <si>
    <t xml:space="preserve">    0.00    0.00</t>
  </si>
  <si>
    <t xml:space="preserve"> 55.0 57.0 58.0 59.0  0.0  0.0  0.0  0.0</t>
  </si>
  <si>
    <t xml:space="preserve">    1400    1500    1600    1700    1700    1800    1900    2000</t>
  </si>
  <si>
    <t>43;537;0;100|601;34;0;160||600;529;0;10</t>
  </si>
  <si>
    <t>HH130i.png</t>
  </si>
  <si>
    <t>HL160M</t>
  </si>
  <si>
    <t>m^3/hr</t>
  </si>
  <si>
    <t>188.4;186.3;184.2;176.8;168.4;161.1;153.7;142.1;131.6;120;108.4</t>
  </si>
  <si>
    <t>0;33;50;58;61;62;61;59;56;52;47.8</t>
  </si>
  <si>
    <t>0;100.6;187.4;251.6;303;335.1;368.3;404.7;440;464.7;486.1</t>
  </si>
  <si>
    <t>2.2;2.2;2.3;2.4;2.8;3.1;3.5;4;4.5;4.9;5.4</t>
  </si>
  <si>
    <t xml:space="preserve">     188.217      .03936   -.0484947 -.005553978 -.000142785</t>
  </si>
  <si>
    <t xml:space="preserve">       0.006    10.37565  -0.6216927 0.021404689-0.000532624</t>
  </si>
  <si>
    <t xml:space="preserve">       2.199     0.04185  -0.0162472 0.001788589 -3.2608E-05</t>
  </si>
  <si>
    <t xml:space="preserve"> 48.0 52.0 55.0 58.0 61.0  0.0  0.0  0.0</t>
  </si>
  <si>
    <t xml:space="preserve">    1200    1400    1600    1800    2000       0       0       0</t>
  </si>
  <si>
    <t>34;501;0;500|208;18;0;200||614;521;0;6</t>
  </si>
  <si>
    <t>HL160M.png</t>
  </si>
  <si>
    <t>HL225M</t>
  </si>
  <si>
    <t>114.3;112.3;107.5;101.4;95.3;92.6;89.8;87.1;83.7;78.3</t>
  </si>
  <si>
    <t>0;25;45;60;68;70;71;70;68;65</t>
  </si>
  <si>
    <t>0;136.7;279.1;440.5;600;674.1;732.9;770.9;801.3;831.6</t>
  </si>
  <si>
    <t>2.4;2.3;2.4;2.5;3.9;4.6;5.2;5.7;6;6.7</t>
  </si>
  <si>
    <t xml:space="preserve">      114.15      .53659   -.1896653   .00928703 -.000150896</t>
  </si>
  <si>
    <t xml:space="preserve">      -0.164     5.62648  -0.1956952 0.005418318 -8.5087E-05</t>
  </si>
  <si>
    <t xml:space="preserve">       2.394     0.01777  -0.0078666  0.00055916  -6.774E-06</t>
  </si>
  <si>
    <t xml:space="preserve"> 25.0 45.0 60.0 65.0 68.0 70.0  0.0  0.0</t>
  </si>
  <si>
    <t>30;504;0;900|204;13;0;130||614;521;0;8</t>
  </si>
  <si>
    <t>HL225M.png</t>
  </si>
  <si>
    <t>HL250M</t>
  </si>
  <si>
    <t>95-1114-1098</t>
  </si>
  <si>
    <t>123.4;121.2;118.2;112.9;103.1;92.6;81.3;71.5;61.7;50.4;38.4</t>
  </si>
  <si>
    <t>0;28;50;65;72;75;72;68;62;52;40.99</t>
  </si>
  <si>
    <t>0;159.7;358.6;540.7;700.4;843.3;958.2;1056;1126;1182;1224</t>
  </si>
  <si>
    <t>2;2;2;2.2;2.8;3.5;4.2;5;5.5;6;6.4</t>
  </si>
  <si>
    <t xml:space="preserve">     122.888     1.09106  -1.0114503  .112680105 -.006724493</t>
  </si>
  <si>
    <t xml:space="preserve">      -0.194    22.31012  -3.2667622 0.328812206-0.015318539</t>
  </si>
  <si>
    <t xml:space="preserve">       2.006     0.02167  -0.0352495 0.009033729-0.000319837</t>
  </si>
  <si>
    <t xml:space="preserve"> 41.0 50.0 65.0 72.0  0.0  0.0  0.0  0.0</t>
  </si>
  <si>
    <t>44;508;0;1300|216;30;0;140||616;525;0;8</t>
  </si>
  <si>
    <t>HL250M.png</t>
  </si>
  <si>
    <t xml:space="preserve">PAC H108 </t>
  </si>
  <si>
    <t>PAC H108</t>
  </si>
  <si>
    <t>109.4;96;90.8;82.5;73.8;62.5;52.1;44.8</t>
  </si>
  <si>
    <t>0;60;70;75;79;82;79;74.8</t>
  </si>
  <si>
    <t>0;381.9;526.6;707.5;908.5;1166;1403;1556</t>
  </si>
  <si>
    <t>2.8;2.9;2.6;3.2;4.5;5.9;7.9;9.1</t>
  </si>
  <si>
    <t xml:space="preserve">     109.376    -2.66635   -.2596158  .017635566 -.000453996</t>
  </si>
  <si>
    <t xml:space="preserve">       0.005    26.06281  -3.4615981 0.221660255-0.005594518</t>
  </si>
  <si>
    <t xml:space="preserve">       2.818    -0.02083   -0.028383 0.007662608 -0.00026288</t>
  </si>
  <si>
    <t xml:space="preserve"> 60.0 70.0 75.0 78.0 80.0  0.0  0.0  0.0</t>
  </si>
  <si>
    <t xml:space="preserve">    1200    1400    1600    1800       0       0       0       0</t>
  </si>
  <si>
    <t>66;464;0;1600|587;107;0;100||586;491;0;10</t>
  </si>
  <si>
    <t>PAC_H108_.png</t>
  </si>
  <si>
    <t>PAC H108 BACK</t>
  </si>
  <si>
    <t>PAC H108 BACK;PAC H108 BACK;PAC H108 BACK;PAC H108 BACK</t>
  </si>
  <si>
    <t xml:space="preserve"> 1200.00 1400.00 1600.00 1800.00</t>
  </si>
  <si>
    <t xml:space="preserve">    48.8    66.2      86   109.4</t>
  </si>
  <si>
    <t xml:space="preserve">    1266    1423    1552    1556</t>
  </si>
  <si>
    <t>48.8;43.1;41;38.3;34.2;27.9;22.1;17.9;10.4|66.2;58.1;55.4;51;45.4;38.1;30.2;26.5;17.3|86;75.8;71.9;65.4;58.5;48.5;40.4;35;27.5|109.4;96;90.8;82.5;73.8;62.5;52.1;44.8</t>
  </si>
  <si>
    <t>0;60;70;75;79;82;79;75;59|0;60;70;75;79;82;79;75;57|0;60;70;75;79;82;79;75;71|0;60;70;75;79;82;79;74.8</t>
  </si>
  <si>
    <t>0;233.2;321.6;426.1;554.8;771.9;964.8;1085;1266|0;297.5;385.9;514.6;671.4;900.5;1118;1226;1423|0;353.8;462.3;619.1;783.9;1045;1262;1391;1552|0;381.9;526.6;707.5;908.5;1166;1403;1556</t>
  </si>
  <si>
    <t>0;0;0;0;0;0;79;0;0|0;0;0;0;0;0;0;0;0|2.6;2.7;2.1;2.5;3.5;4.9;6.5;7.6;8.9|2.8;2.9;2.6;3.2;4.5;5.9;7.9;9.1</t>
  </si>
  <si>
    <t xml:space="preserve"> 100 100 100 100</t>
  </si>
  <si>
    <t xml:space="preserve">      48.765    -1.92707   -.2289179  .025735989 -.001147583      66.192    -1.88446   -.3700055  .038131144 -.001390225      85.986    -1.40422   -.5555037  .048070736 -.001423578     109.376    -2.66635   -.2596158  .017635566 -.000453996</t>
  </si>
  <si>
    <t xml:space="preserve">       0.146    39.79613  -7.5546531 0.655843751-0.021997753      -0.019    33.05449  -5.3616357 0.412874865-0.012618282       0.061    26.55533  -3.3263745 0.192858046-0.004505582       0.005    26.06281  -3.4615981 0.221660255-0.005594518</t>
  </si>
  <si>
    <t xml:space="preserve">           0           0           0           0           0           0           0           0           0           0        2.63    -0.06721  -0.0269581 0.008133121 -0.00028664       2.818    -0.02083   -0.028383 0.007662608 -0.00026288</t>
  </si>
  <si>
    <t xml:space="preserve">    0.00    0.00    0.00    0.00</t>
  </si>
  <si>
    <t xml:space="preserve"> 60.0 70.0 75.0 77.0 79.0  0.0  0.0  0.0</t>
  </si>
  <si>
    <t>PAC H64 FSC03</t>
  </si>
  <si>
    <t>PAC H64 FSC03;PAC H64 FSC03</t>
  </si>
  <si>
    <t xml:space="preserve"> 1800.00 2100.00</t>
  </si>
  <si>
    <t xml:space="preserve">   112.9   153.4</t>
  </si>
  <si>
    <t xml:space="preserve">   579.1   582.6</t>
  </si>
  <si>
    <t>112.9;104.2;100.8;97.7;86.2;79.3|153.4;147.5;141;137.8;131.9;119.1;115</t>
  </si>
  <si>
    <t>0;50;60;65;68;66|0;35;50;60;65;69;66</t>
  </si>
  <si>
    <t>0;173.9;267.8;333.9;490.4;579.1|0;107.8;194.8;300.9;391.3;532.2;582.6</t>
  </si>
  <si>
    <t>3.3;3.4;3.4;3.7;5.1;6.9|2.4;2.3;2.2;2.6;3.2;4.7;5.9</t>
  </si>
  <si>
    <t xml:space="preserve">  25  25</t>
  </si>
  <si>
    <t xml:space="preserve">     112.902    -2.32329    .2532139 -.016487856  .000310063     153.591    -2.12259    .1456607 -.008352375  .000125939</t>
  </si>
  <si>
    <t xml:space="preserve">       0.012    11.57404   -0.816419 0.029310349-0.000445917      -0.054    11.45773  -0.9197273 0.040240846-0.000713981</t>
  </si>
  <si>
    <t xml:space="preserve">       3.301      0.0462  -0.0083239 0.000443809   5.122E-06       2.418    -0.10745   0.0174719-0.000940023  2.8298E-05</t>
  </si>
  <si>
    <t xml:space="preserve"> 50.0 60.0 65.0  0.0  0.0  0.0  0.0  0.0</t>
  </si>
  <si>
    <t xml:space="preserve">    1200    1400    1600    1800    2000    2100       0       0</t>
  </si>
  <si>
    <t>60;405;0;600|592;130;0;160||591;475;0;10</t>
  </si>
  <si>
    <t>PAC_H64_FSC03.png</t>
  </si>
  <si>
    <t>PAS 150HF 300</t>
  </si>
  <si>
    <t>50.1;44.6;43;40.3;35.8;29.7;22.6</t>
  </si>
  <si>
    <t>0;40;50;63;70;65;55</t>
  </si>
  <si>
    <t>0;169.2;215.2;295.2;391;465.7;516.9</t>
  </si>
  <si>
    <t>4;4.2;4.5;5.1;6;7.1;8.1</t>
  </si>
  <si>
    <t xml:space="preserve">      50.099      -.4328    -.116325  .011570693 -.000388894</t>
  </si>
  <si>
    <t xml:space="preserve">      -0.003     5.82664   0.0785364-0.008577721-0.000127117</t>
  </si>
  <si>
    <t xml:space="preserve">       3.999    -0.14387   0.0379639-0.002166505  5.4734E-05</t>
  </si>
  <si>
    <t xml:space="preserve"> 40.0 50.0 60.0 65.0  0.0  0.0  0.0  0.0</t>
  </si>
  <si>
    <t xml:space="preserve">    1000    1200    1450    1750    2000    2200       0       0</t>
  </si>
  <si>
    <t>65;408;0;450|552;129;0;50||552;467;0;10</t>
  </si>
  <si>
    <t>PAS_150HF_300.png</t>
  </si>
  <si>
    <t>PAS 150MF 250</t>
  </si>
  <si>
    <t>PAS 150MF 250;PAS 150MF 250;PAS 150MF 250;PAS 150MF 250</t>
  </si>
  <si>
    <t xml:space="preserve"> 1400.00 1600.00 1800.00 2000.00</t>
  </si>
  <si>
    <t xml:space="preserve">    18.3      24    30.4    37.4</t>
  </si>
  <si>
    <t xml:space="preserve">   391.4   427.6   480.5   536.2</t>
  </si>
  <si>
    <t>18.3;14.3;13.1;10.9;8.3;4.5|24;18.5;17.1;14.3;10.9;6.4|30.4;23.4;21.6;18.1;13.3;7.9|37.4;32.2;28.8;26.9;22.4;14.9;7.7</t>
  </si>
  <si>
    <t>0;60;70;77;70;43.59|0;60;70;77;70;46.57|0;60;70;77;70;46.98|0;37.93;60;70;77;70;40.15</t>
  </si>
  <si>
    <t>0;117;160.2;234;307.8;391.4|0;136.5;178.3;263.2;344;427.6|0;149;197.8;296.7;398.3;480.5|0;82.2;161.6;220.1;335.7;465.2;536.2</t>
  </si>
  <si>
    <t>0;0;0;0;0;0|0;0;0;0;0;0|0.5;1.3;1.9;3.3;5.1;6.7|0.6;0.5;1.5;2.1;3.9;6.4;8.3</t>
  </si>
  <si>
    <t xml:space="preserve">  25  25  25  25</t>
  </si>
  <si>
    <t xml:space="preserve">        18.3    -1.07649    .0678222 -.004618008   6.911E-05      24.001    -1.34154    .0869362 -.005249868  7.2191E-05      30.401    -1.56953    .0878436 -.003866655  1.9527E-05      37.375    -1.86113    .1049954 -.003226895 -2.9224E-05</t>
  </si>
  <si>
    <t xml:space="preserve">       0.008    19.05893  -1.5970653 0.063335687 -0.00177112      -0.009     15.5282  -0.8980123 0.015616439-0.000402249      -0.016    15.82454  -1.2228846 0.052389526-0.001299505      -0.363    16.29107  -1.5669291 0.087880236-0.002148772</t>
  </si>
  <si>
    <t xml:space="preserve">           0           0           0           0           0           0           0           0           0           0       0.499     -0.0104    0.029397-0.000865055  1.2347E-05       0.578    -0.17958   0.0672594-0.003743232  8.3067E-05</t>
  </si>
  <si>
    <t xml:space="preserve"> 60.0 70.0  0.0  0.0  0.0  0.0  0.0  0.0</t>
  </si>
  <si>
    <t xml:space="preserve">    1400    1600    1800    2000       0       0       0       0</t>
  </si>
  <si>
    <t>63;422;0;500|594;21;0;40||593;447;0;10</t>
  </si>
  <si>
    <t>PAS_150MF_250.png</t>
  </si>
  <si>
    <t>XH150i 560</t>
  </si>
  <si>
    <t>XH150</t>
  </si>
  <si>
    <t>184;179.9;175;167.9;161.2;154.5;148.9;140.3</t>
  </si>
  <si>
    <t>0;29.98;46.67;60.8;70;73;72.83;68</t>
  </si>
  <si>
    <t>0;27.2;54.4;83.1;107.1;125.6;137.2;149.9</t>
  </si>
  <si>
    <t>2.3;2.5;2.3;3.1;4.2;5.4;6.2;7.9</t>
  </si>
  <si>
    <t xml:space="preserve">     183.937     -.73654   -.3187294  .033401301 -.001452378</t>
  </si>
  <si>
    <t xml:space="preserve">       0.052    14.79137   -1.788952 0.147699244-0.004937985</t>
  </si>
  <si>
    <t xml:space="preserve">       2.332     0.03589  -0.0161403 0.002835267 -1.9672E-05</t>
  </si>
  <si>
    <t xml:space="preserve"> 46.0 60.0 67.0 72.0  0.0  0.0  0.0  0.0</t>
  </si>
  <si>
    <t xml:space="preserve">    1400    1500    1600    1700    1800       0       0       0</t>
  </si>
  <si>
    <t>46;542;0;180|566;30;0;200||565;484;0;10</t>
  </si>
  <si>
    <t>XH150i_560.png</t>
  </si>
  <si>
    <t>6/4-GR100D-M</t>
  </si>
  <si>
    <t>WPG64G15</t>
  </si>
  <si>
    <t>Live</t>
  </si>
  <si>
    <t>6/4 G-M;6/4 G-M;6/4 G-M;6/4 G-M;6/4 G-M</t>
  </si>
  <si>
    <t xml:space="preserve">    0.00    0.00    0.00    0.00    0.00</t>
  </si>
  <si>
    <t xml:space="preserve">  600.00  800.00 1000.00 1200.00 1400.00</t>
  </si>
  <si>
    <t xml:space="preserve">    10.2    17.5    27.5    39.5    54.5</t>
  </si>
  <si>
    <t xml:space="preserve">    68.2    76.5      86    92.6    98.1</t>
  </si>
  <si>
    <t>10.2;9.6;9.2;8.8;8.5;7.6;6.9;5.9;3.9|17.5;16.8;16.5;16.2;16.1;15.2;14.5;12.9;11.6;10.1|27.5;25.7;25.6;24.6;24.1;23.1;21.3;19.8;18.8|39.5;37;36.2;35.5;33.5;30.9;28.7|54.5;51;49.9;49;45.8;40</t>
  </si>
  <si>
    <t>0;30;45;50;58;59;58;55;49.8|0;30;40;50;55;58;58.75;58;55;49.8|0;30;45;55;58;58.5;58;55;49.8|0;30;45;55;57.85;55;49.8|0;30;45;50;54;49.8</t>
  </si>
  <si>
    <t>0;8;15.3;20.4;33.6;44;54.2;60.4;68.2|0;12;17.1;26;33.6;41.4;52.6;64.5;71.5;76.5|0;15.5;28;42.3;53;63.9;74.4;81.9;86|0;18;35;57;74;85.6;92.6|0;20;44;62;81.6;98.1</t>
  </si>
  <si>
    <t>0;1.1;1.1;1.3;1.4;1.7;2;2.3;2.6|0;0.8;1.2;1.5;1.5;1.7;2.4;3.2;3.5;4.1|0.2;0.85;1.4;1.9;2.4;3.1;3.7;4.3;4.9|0.4;1.15;1.8;2.8;3.5;4.6;5.3|0.4;1.3;2.1;3.22;4.4;5.8</t>
  </si>
  <si>
    <t xml:space="preserve">   5   5   5   5   5</t>
  </si>
  <si>
    <t xml:space="preserve">      10.192     -.37022    .0011358  .004220736 -.000350715      17.481     -.30868    .0138554  .000148165 -.000116045      27.472     -.79726    .1120521 -.007506693  .000115346      39.505    -1.10623     .135207 -.006552326   4.183E-05      54.501    -1.40326    .1592172 -.006972162   2.968E-05</t>
  </si>
  <si>
    <t xml:space="preserve">       0.243     23.4292  -3.6490921 0.265072719-0.007627267       -0.22    17.06063  -1.9447019 0.112313072-0.002874714      -0.115    12.90711  -1.1526083 0.058039969-0.001434674      -0.025    11.62921  -1.1124387 0.063447648-0.001589126      -0.033    11.20301  -1.1451128 0.063290379-0.001397696</t>
  </si>
  <si>
    <t xml:space="preserve">       0.948     0.10959   -0.018894 0.002463859 -7.4347E-05      -0.863     1.09573  -0.1975077 0.015973115-0.000417265       0.202      0.2045   0.0035632-0.000775497  4.5768E-05       0.404     0.16412   0.0162257-0.001983825  7.5803E-05       0.408     0.26772  -0.0195284 0.001670711 -3.3576E-05</t>
  </si>
  <si>
    <t>64A11</t>
  </si>
  <si>
    <t>CSP64E01</t>
  </si>
  <si>
    <t>curves\Type G - GH\6_4D G-3VCM</t>
  </si>
  <si>
    <t>6/4 G</t>
  </si>
  <si>
    <t>DG4137</t>
  </si>
  <si>
    <t>DM</t>
  </si>
  <si>
    <t>DDM</t>
  </si>
  <si>
    <t>27% Chrome</t>
  </si>
  <si>
    <t>Carbon Steel</t>
  </si>
  <si>
    <t>CS62 Plated;420C Stainless Steel;Stellite Plated</t>
  </si>
  <si>
    <t>Expeller;LF Stuffing Box;FF Stuffing Box;ULF Stuffing Box</t>
  </si>
  <si>
    <t>27% Chrome;Cast Iron</t>
  </si>
  <si>
    <t>Aslam Haffejee</t>
  </si>
  <si>
    <t xml:space="preserve"> 30.0 40.0 45.0 50.0 55.0 58.0  0.0  0.0</t>
  </si>
  <si>
    <t xml:space="preserve">     600     800    1000    1200    1400     0.0     0.0     0.0</t>
  </si>
  <si>
    <t>51;536;0;100|461;10;0;60||615;503;0;8</t>
  </si>
  <si>
    <t>GR100_(3VC-M).png</t>
  </si>
  <si>
    <t>10/8-GR200F-M</t>
  </si>
  <si>
    <t>GR</t>
  </si>
  <si>
    <t>WPG108G15</t>
  </si>
  <si>
    <t>10/8 G-M</t>
  </si>
  <si>
    <t>10/8 G-M;10/8 G-M;10/8 G-M;10/8 G-M;10/8 G-M;10/8 G-M</t>
  </si>
  <si>
    <t xml:space="preserve">    0.00    0.00    0.00    0.00    0.00    0.00</t>
  </si>
  <si>
    <t xml:space="preserve">  500.00  600.00  700.00  800.00  900.00 1000.00</t>
  </si>
  <si>
    <t xml:space="preserve">    13.7    19.5    26.7      35    44.5      54</t>
  </si>
  <si>
    <t xml:space="preserve">     177   219.7     265   283.1   311.3   335.2</t>
  </si>
  <si>
    <t>13.7;12.4;11.9;10.6;9.3|19.5;17.8;17.7;16.4;15.7;14.2;12|26.7;25;23.8;21.4;18.6;15.7|35;32.2;31.5;30.6;28.4;24.6;23|44.5;41;39.5;38.3;35;28.1|54;51.1;49.1;47.5;43.9;41.8;35.7</t>
  </si>
  <si>
    <t>0;35;45;50;44|0;35;45;55;60;60;54.9|0;34;55;61.5;60;54.7|0;36;55;60;63;60;58|0;35;55;60;65;59|0;35;54;60;65;65;58</t>
  </si>
  <si>
    <t>0;75;102;135.4;177|0;69.7;89.4;133.8;155.6;189.4;219.7|0;60;125;190;230;265|0;62;130;165.5;219.7;267.6;283.1|0;65;140.1;182.4;245.8;311.3|0;75;155;205;263.4;284.5;335.2</t>
  </si>
  <si>
    <t>0;0.5;1.9;2.5;3.75|0.6;1.7;2.1;2.5;3.5;4.4;5.6|0.7;1.1;2;4.2;4.8;7.5|0.6;1.1;2.1;3.3;5.6;7.6;8.5|0.6;1.1;2.5;3.9;6.7;10.1|0.7;1.2;3.1;4.6;7.8;8.6;11.8</t>
  </si>
  <si>
    <t xml:space="preserve">  10  10  25  25  25  25</t>
  </si>
  <si>
    <t xml:space="preserve">      13.694     -.05288   -.0168844  .000326866      19.496     -.31866    .0193562 -.000925162      26.667     -.85446    .1150887 -.012531538      34.943    -1.58181    .2726194 -.020030674      44.462    -1.88334    .2789293  -.01874505      53.998    -1.39555    .1828978 -.013483245</t>
  </si>
  <si>
    <t xml:space="preserve">      -0.015     4.61029   0.1086868-0.012927626      -0.029      5.8377  -0.0758702-0.003453274        0.01    17.33858  -1.3783979 0.021714287       0.258    17.73283  -1.5729175 0.040674079       0.412    15.83473  -1.2163781 0.026158299       0.529     13.1281  -0.7460503 0.006855069</t>
  </si>
  <si>
    <t xml:space="preserve">     -15.015     3.75004  -0.2772897 0.007080157       0.609     0.19132  -0.0080477 0.000443789       0.666      0.2044  -0.0074185 0.004439563       0.645    -0.06534   0.0776101-0.000942383       0.627    -0.02821   0.0697375-0.000498402       0.708    -0.04355   0.0686385-0.000269479</t>
  </si>
  <si>
    <t>WPA108A11</t>
  </si>
  <si>
    <t>CSP108A01A</t>
  </si>
  <si>
    <t>curves\gr\10_8-gr200f-m</t>
  </si>
  <si>
    <t>10/8 G</t>
  </si>
  <si>
    <t>CH200137F-CR</t>
  </si>
  <si>
    <t>FF</t>
  </si>
  <si>
    <t xml:space="preserve"> 35.0 45.0 55.0 60.0 65.0 65.2  0.0  0.0</t>
  </si>
  <si>
    <t xml:space="preserve">     500     600     700     800     900    1000     0.0     0.0</t>
  </si>
  <si>
    <t>10_8-GR200F-M.png</t>
  </si>
  <si>
    <t>12/10-GR250F-M</t>
  </si>
  <si>
    <t>WPG1210GH15</t>
  </si>
  <si>
    <t>12/10 G-M</t>
  </si>
  <si>
    <t>83;80.7;79.7;77.7;73;67;60.2</t>
  </si>
  <si>
    <t>0;36.5;50;60;70;73;69.8</t>
  </si>
  <si>
    <t>0;122;173;260;428;618;809</t>
  </si>
  <si>
    <t>2.6;2.6;3.2;3.7;5.6;8.4;11.9</t>
  </si>
  <si>
    <t xml:space="preserve">      82.987     -.40315   -.0109802  1.9451E-05   1.011E-06</t>
  </si>
  <si>
    <t xml:space="preserve">      -0.217    10.29257  -0.5699739 0.014922291-0.000156681</t>
  </si>
  <si>
    <t xml:space="preserve">       2.581    -0.05402    0.020433-0.000512716   6.428E-06</t>
  </si>
  <si>
    <t>GR250 (3)</t>
  </si>
  <si>
    <t>curves\gr\12_10-gr250f-m</t>
  </si>
  <si>
    <t>12/10 G</t>
  </si>
  <si>
    <t>CH250137F-CR</t>
  </si>
  <si>
    <t xml:space="preserve"> 40.0 50.0 60.0 70.0  0.0  0.0  0.0  0.0</t>
  </si>
  <si>
    <t xml:space="preserve">     350     400     450     500     550     600     650     700</t>
  </si>
  <si>
    <t>12_10-GR250F-M.png</t>
  </si>
  <si>
    <t>6/6-GR100E-M</t>
  </si>
  <si>
    <t>WPG66G15</t>
  </si>
  <si>
    <t>6/6 G-M</t>
  </si>
  <si>
    <t>6/6 G-M;6/6 G-M;6/6 G-M;6/6 G-M</t>
  </si>
  <si>
    <t xml:space="preserve">  800.00 1000.00 1200.00 1400.00</t>
  </si>
  <si>
    <t xml:space="preserve">    18.5    29.5    41.5    55.5</t>
  </si>
  <si>
    <t xml:space="preserve">     130   161.2     194     226</t>
  </si>
  <si>
    <t>18.5;15.8;14.8;14.1;9.8;7.4|29.5;26.5;25;24.4;22.3;18.5;15.4;11.5|41.5;38;34;31.9;27.1;21.5;16.5|55.5;49;46.9;42.8;36;23</t>
  </si>
  <si>
    <t>0;42;55;60;44;40|0;30;50;60;63;60;50;40|0;30;60;64.8;60;50;40|0;36;58;66.4;61;40</t>
  </si>
  <si>
    <t>0;32;50;70;113;130|0;18;42;64.2;94.5;123.2;142.7;161.2|0;24;74;114;146.3;174;194|0;48;94;137;171;226</t>
  </si>
  <si>
    <t>1.6;1.6;2.9;3.4;5.28;6.1|0.5;1.2;2.3;3.5;4.8;6.2;7.3;8.5|0.6;1.1;3.76;5.31;7.8;9.9;11|0.7;2.7;4.57;6;9.65;14.2</t>
  </si>
  <si>
    <t xml:space="preserve">  10  10  10  10</t>
  </si>
  <si>
    <t xml:space="preserve">      18.509    -1.49116    .2701954 -.026361155  .000718268      29.456     -2.2128    .4042325 -.034290583  .000835056      41.584    -2.11741    .2608778 -.016393751   .00026435      55.511    -2.72813    .3982052 -.026378719  .000499246</t>
  </si>
  <si>
    <t xml:space="preserve">       0.019    14.99385  -0.1406588-0.172334997  0.00866294       0.397    19.60123  -2.2857233 0.126174532-0.003131084       0.067    15.08708  -1.2163392 0.042996042-0.000769661       0.046     8.08499  -0.0506969-0.019552702 0.000416998</t>
  </si>
  <si>
    <t xml:space="preserve">       1.584    -0.50005   0.2414287-0.024138334 0.000814826       0.493     0.34076   0.0372589-0.003850681 0.000132927       0.509     0.33226   0.0001741 0.001366458 -4.1694E-05       0.666     0.84023  -0.1167884  0.00881557-0.000182208</t>
  </si>
  <si>
    <t>CSP64A01</t>
  </si>
  <si>
    <t>curves\gr\6_6-gr100e-m</t>
  </si>
  <si>
    <t>notes here</t>
  </si>
  <si>
    <t>6/6 G</t>
  </si>
  <si>
    <t>CH100137E-CR</t>
  </si>
  <si>
    <t>EE</t>
  </si>
  <si>
    <t xml:space="preserve"> 30.0 40.0 50.0 60.0 65.0  0.0  0.0  0.0</t>
  </si>
  <si>
    <t xml:space="preserve">     800     900    1000    1100    1200    1300    1400     0.0</t>
  </si>
  <si>
    <t>44;531;0;250|469;22;0;60||622;509;0;20</t>
  </si>
  <si>
    <t>GR150_(3VC-M).png</t>
  </si>
  <si>
    <t>8/6-GR150E-M</t>
  </si>
  <si>
    <t>WPG86G15</t>
  </si>
  <si>
    <t>8/6 G-M</t>
  </si>
  <si>
    <t>8/6-GR150E-M;8/6-GR150E-M;8/6-GR150E-M;8/6-GR150E-M</t>
  </si>
  <si>
    <t xml:space="preserve">    18.4    29.6    41.8    55.8</t>
  </si>
  <si>
    <t xml:space="preserve">   129.1   160.9   195.7   225.9</t>
  </si>
  <si>
    <t>18.4;17.1;16.1;15.5;13.9;13.3;12.2;10.1;7.4|29.6;26.6;25.5;25;24.1;22.2;18.4;15.1;11.3|41.8;38;36.8;35.9;34.6;31.6;26.8;21.3;16.6|55.8;50.7;49.3;48.4;46.4;43.3;42.1;41.1;36.3;28.6;23.2</t>
  </si>
  <si>
    <t>0;30;40;50;60;60.2;60;50;40|0;30;40;50;60;60.3;60;50;40|0;30;40;50;60;64.96;60;50;40|0;30;40;50;60;65;65.2;65;60;50;39.89</t>
  </si>
  <si>
    <t>0;16.4;29.7;39.4;69.7;82.5;92.7;111.7;129.1|0;18.4;31.2;42;63.5;93.2;122.4;142.4;160.9|0;23.1;35.9;48.2;74.3;113.2;146.5;174.2;195.7|0;32.8;46.1;60.5;92.2;127;135.2;143.4;170.1;203.9;225.9</t>
  </si>
  <si>
    <t>3.3;3.5;3.3;3.7;3.7;4.4;4.4;5.3;6.3|0;0;0;0;0;0;0;0;0|0;0;0;0;3.7;5.3;0;0;0|3.7;3;2.6;3.2;4.4;6.1;6.5;7.2;8.9;11.9;14.2</t>
  </si>
  <si>
    <t xml:space="preserve">      18.434    -1.02643    .1037617 -.006910684  -8.289E-06      29.581    -2.19944    .3813805 -.031817945  .000760196      41.808    -2.27164    .3159442 -.022240624  .000442707      55.825    -2.32639    .2740361 -.017018707   .00029279</t>
  </si>
  <si>
    <t xml:space="preserve">        0.63    20.08072  -2.4092133 0.136331395-0.004036898       0.199    19.24683  -2.2461748 0.124624511-0.003100168       0.166    15.27176   -1.245111 0.043883717-0.000758633      -0.188    11.25387  -0.5766527 0.008343645 -6.1162E-05</t>
  </si>
  <si>
    <t xml:space="preserve">       3.311     0.10923  -0.0287528 0.004229336   -9.84E-05           0           0           0           0           0           0           0           0           0           0       3.714       -0.56   0.1001254-0.004292442  8.2749E-05</t>
  </si>
  <si>
    <t>GR150 (3)</t>
  </si>
  <si>
    <t>curves\gr\8_6-gr150e-m</t>
  </si>
  <si>
    <t>8/6 G</t>
  </si>
  <si>
    <t>CH150137E-CR</t>
  </si>
  <si>
    <t>150 (8/6)</t>
  </si>
  <si>
    <t>TAS ONLINE</t>
  </si>
  <si>
    <t xml:space="preserve">     800    1000    1200    1400       0       0       0     0.0</t>
  </si>
  <si>
    <t>42;530;0;250|474;18;0;60||627;513;0;20</t>
  </si>
  <si>
    <t>1.5/1-HD25B-METAL</t>
  </si>
  <si>
    <t>HD</t>
  </si>
  <si>
    <t>WPG151AH31</t>
  </si>
  <si>
    <t>1.5/1 AH-M</t>
  </si>
  <si>
    <t>93;90.9;89.8;88.5;86.4;74.8;57.4;49.7</t>
  </si>
  <si>
    <t>0;30;40;45;50;56;50;45</t>
  </si>
  <si>
    <t>0;2.8;4.01;5.2;6.35;10.8;14.4;15.6</t>
  </si>
  <si>
    <t>3;3;3.5;3.8;4;8;0;0</t>
  </si>
  <si>
    <t xml:space="preserve">      92.993     -.66779    .0058395 -.009838754  5.1432E-05</t>
  </si>
  <si>
    <t xml:space="preserve">       -0.06    14.23382  -1.3442244 0.063733652-0.001549054</t>
  </si>
  <si>
    <t xml:space="preserve">           3    -0.80035   0.4626322-0.073553099 0.003847047</t>
  </si>
  <si>
    <t>HD25 (5)</t>
  </si>
  <si>
    <t>curves\hd\1.5_1-hd25b-metal</t>
  </si>
  <si>
    <t>1.5/1 AH</t>
  </si>
  <si>
    <t>HD25127B-CR</t>
  </si>
  <si>
    <t>B</t>
  </si>
  <si>
    <t>P. du Plessis</t>
  </si>
  <si>
    <t xml:space="preserve"> 30.0 40.0 45.0 50.0 55.0  0.0  0.0  0.0</t>
  </si>
  <si>
    <t xml:space="preserve">    1600    2000    2400    2800    3200    3600    4000    4400</t>
  </si>
  <si>
    <t>1.5/1-HD25B-RUBBER</t>
  </si>
  <si>
    <t>WPG151AH17</t>
  </si>
  <si>
    <t>1.5/1 AH-R</t>
  </si>
  <si>
    <t>49.2;49;48;46.1;44.4;42.6;38.9;35;32.4</t>
  </si>
  <si>
    <t>0;20;30;40;45;48;50;48;45</t>
  </si>
  <si>
    <t>0;1.7;3;4.35;5.3;6.2;7.8;9.1;9.8</t>
  </si>
  <si>
    <t>2.6;2.6;3.3;4;4.8;6;8;0;0</t>
  </si>
  <si>
    <t xml:space="preserve">      49.183      .55967   -.4248071  .038442266 -.001910657</t>
  </si>
  <si>
    <t xml:space="preserve">       0.107    13.08458  -1.1070795 0.063840739-0.004026695</t>
  </si>
  <si>
    <t xml:space="preserve">       2.587    -0.11127   0.0924022 0.003640748-0.000284428</t>
  </si>
  <si>
    <t>HD25 (3)</t>
  </si>
  <si>
    <t>curves\hd\1.5_1-hd25b-rubber</t>
  </si>
  <si>
    <t>HD25127B-RU</t>
  </si>
  <si>
    <t xml:space="preserve"> 20.0 30.0 40.0 45.0 48.0 50.0  0.0  0.0</t>
  </si>
  <si>
    <t xml:space="preserve">    1400    1700    2000    2300    2600    2900    3200     0.0</t>
  </si>
  <si>
    <t>10/8-HD200G-METAL</t>
  </si>
  <si>
    <t>WPG108AH30</t>
  </si>
  <si>
    <t>10/8 AH-M</t>
  </si>
  <si>
    <t>10/8-HD200G-METAL;10/8-HD200G-METAL;10/8-HD200G-METAL;10/8-HD200G-METAL</t>
  </si>
  <si>
    <t xml:space="preserve">  400.00  600.00  800.00 1000.00</t>
  </si>
  <si>
    <t xml:space="preserve">    14.5      33    57.9    90.7</t>
  </si>
  <si>
    <t xml:space="preserve">   229.2   342.5   442.3   550.7</t>
  </si>
  <si>
    <t>14.5;14.3;13.7;13.2;11.9;10.2;8.9|33;31.9;30.8;29.1;27.3;24.3;21.9;19.7|57.9;56;55.1;53.8;51.2;48.4;42.5;38.6;33.8|90.7;87.6;85.7;82;75.7;72;60.7;53.1</t>
  </si>
  <si>
    <t>0;30;65;70;73.58;70;65|0;45;65;75;77.2;75;70;65|0;50;60;70;77;77.85;75;70;65|0;50;65;75;78.8;77;70;65</t>
  </si>
  <si>
    <t>0;25.9;85;115.8;163.9;203.3;229.2|0;64.1;119.5;183.6;230.4;277;313;342.5|0;112.1;147.8;197.1;255;303.1;374.5;406.6;442.3|0;134.3;200.8;284.6;375.8;416.4;506.4;550.7</t>
  </si>
  <si>
    <t>0.7;0.7;0.9;1;2.5;4.5;5.5|1.3;3.9;4.6;6.6;8.6;10;11.2;12.7|4.8;4.2;5.5;6.6;9.2;11;13.4;14.3;15.8|0.4;4.6;7.5;10.5;13.6;14.9;17.5;19.3</t>
  </si>
  <si>
    <t xml:space="preserve">  10  25  25  25</t>
  </si>
  <si>
    <t xml:space="preserve">      14.508     -.10158    .0078502 -.000911356   1.289E-05      33.018     -.65105    .1088437  -.01583066  .000449948      57.898     -.35462   -.0100208 -.000782958 -.000105884      90.692      -.5136   -.0009494  -.00128233 -5.1243E-05</t>
  </si>
  <si>
    <t xml:space="preserve">      -0.096    14.23201   -1.066797   0.0385333-0.000596739       0.033    23.45337   -2.680268 0.147903823-0.003798202       0.011    14.49606  -0.8123197 0.014288781-0.000168493       0.006    12.08515  -0.5495329 0.006165344  -2.363E-06</t>
  </si>
  <si>
    <t xml:space="preserve">       0.654     0.14283  -0.0413476 0.003656545 -7.4961E-05       1.361     1.20969  -0.1725151 0.018937763-0.000616266       4.804    -1.03895   0.2684161-0.015504304 0.000317944       0.397      0.4133   0.1047996-0.007205978 0.000152639</t>
  </si>
  <si>
    <t>curves\hd\10/8-HD200G-METAL</t>
  </si>
  <si>
    <t>10/8 AH</t>
  </si>
  <si>
    <t>HDM200147G-CR</t>
  </si>
  <si>
    <t>GG</t>
  </si>
  <si>
    <t xml:space="preserve"> 50.0 60.0 65.0 70.0 75.0 77.0 78.0  0.0</t>
  </si>
  <si>
    <t xml:space="preserve">     400     500     600     700     800     900    1000     0.0</t>
  </si>
  <si>
    <t>10/8-HD200G-METAL.png</t>
  </si>
  <si>
    <t>10/8-HD200G-RUBBER</t>
  </si>
  <si>
    <t>WPG108AH32</t>
  </si>
  <si>
    <t>10/8 AH-R</t>
  </si>
  <si>
    <t>51.3;50;51.3;50.6;49.3;46.7;43.2;39;33.3</t>
  </si>
  <si>
    <t>0;35.5;49;60;70;75;75.7;75;70</t>
  </si>
  <si>
    <t>0;49.7;74.5;111.8;162.5;230.8;297.1;362.3;438.9</t>
  </si>
  <si>
    <t>0.8;0.9;1.1;1.3;2.2;3.6;5.3;7.2;9.6</t>
  </si>
  <si>
    <t xml:space="preserve">      51.087     -.11063    .0220373 -.008982177  .000273791</t>
  </si>
  <si>
    <t xml:space="preserve">      -0.018    22.85093  -2.6536752 0.141601951-0.002941984</t>
  </si>
  <si>
    <t xml:space="preserve">       0.815    -0.05286   0.0443818-0.000594028  -7.951E-06</t>
  </si>
  <si>
    <t>curves\hd\10/8-HD200G-RUBBER</t>
  </si>
  <si>
    <t>HD200147G-RU</t>
  </si>
  <si>
    <t>Rubber;27% Chrome;Hyper Chrome;Acid Resist Chrome;Blue Diamond;Nitrile ;Neoprene;Polyurethane;Ceramic;316 Stainless Steel;Ferralium;SAF2205 (Duplex SS)</t>
  </si>
  <si>
    <t>SG Iron</t>
  </si>
  <si>
    <t>Carbon Steel;316 Stainless Steel;Rubber (VSR);SAF2205 (Duplex SS)</t>
  </si>
  <si>
    <t>CS62 Plated;420C Stainless Steel;Stellite Plated;316 Stainless Steel;Ferralium;SAF2205 (Duplex SS)</t>
  </si>
  <si>
    <t>Expeller;LF Stuffing Box;FF Stuffing Box;ULF Stuffing Box;Dyna Seal</t>
  </si>
  <si>
    <t>27% Chrome;Hyper Chrome;316 Stainless Steel;Ferralium;SAF2205 (Duplex SS);904 Stainless Steel;Cast Iron;316 Stainless Steel;Ferralium;SAF2205 (Duplex SS);904 Stainless Steel;27% Chrome</t>
  </si>
  <si>
    <t xml:space="preserve"> 40.0 50.0 60.0 70.0 75.0 75.7  0.0  0.0</t>
  </si>
  <si>
    <t xml:space="preserve">     400     450     500     550     600     650     700     750</t>
  </si>
  <si>
    <t>47;530;0;500|490;30;0;60||644;530;0;10</t>
  </si>
  <si>
    <t>10/8-HD200G-RUBBER.png</t>
  </si>
  <si>
    <t>10/8-HDM200F-METAL</t>
  </si>
  <si>
    <t>10/8 AH-M;10/8 AH-M;10/8 AH-M;10/8 AH-M</t>
  </si>
  <si>
    <t>WPA108A01A 1988</t>
  </si>
  <si>
    <t>curves\hd\10_8-hdm200f-metal</t>
  </si>
  <si>
    <t>HDM200147F-CR</t>
  </si>
  <si>
    <t>FAM</t>
  </si>
  <si>
    <t>FFAM</t>
  </si>
  <si>
    <t>41;528;0;600|475;14;0;100||629;515;0;25</t>
  </si>
  <si>
    <t>HD200_(5VC-M).png</t>
  </si>
  <si>
    <t>10/8-HDM200F-RUBBER</t>
  </si>
  <si>
    <t>51.3;51.4;51.3;50.9;49.7;46.9;43.1;39;33.5</t>
  </si>
  <si>
    <t>0;35.5;50;60;70;75;75.7;75;70</t>
  </si>
  <si>
    <t>0;50;77;113;162;230;298;360;439.7</t>
  </si>
  <si>
    <t>2;2;2;2.8;4.4;7;10.4;14.2;19.4</t>
  </si>
  <si>
    <t xml:space="preserve">       51.28      .19737   -.0494333 -.004106721  .000171279</t>
  </si>
  <si>
    <t xml:space="preserve">      -0.017    22.69774  -2.6103897 0.137775391-0.002835158</t>
  </si>
  <si>
    <t xml:space="preserve">       2.009    -0.28857    0.119964-0.003741808  5.9859E-05</t>
  </si>
  <si>
    <t>HD200 (5)</t>
  </si>
  <si>
    <t>curves\hd\10_8-hdm200f-rubber</t>
  </si>
  <si>
    <t>HDM200147F-RU</t>
  </si>
  <si>
    <t>40;50;60;70;75;75.7;</t>
  </si>
  <si>
    <t>10/8-HDP200FF-METAL</t>
  </si>
  <si>
    <t>10/8-HDP200FF-METAL;10/8-HDP200FF-METAL;10/8-HDP200FF-METAL;10/8-HDP200FF-METAL</t>
  </si>
  <si>
    <t>0.7;0.7;0.9;1;2.6;4.5;5.5|1.3;3.9;4.6;6.6;8.6;10;11.2;12.7|4.8;4.2;5.5;6.6;9.2;11;13.4;14.3;15.8|0.4;4.6;7.5;10.5;13.6;14.9;17.5;19.3</t>
  </si>
  <si>
    <t xml:space="preserve">       0.659     0.13355  -0.0402652 0.003664044 -7.6649E-05       1.361     1.20969  -0.1725151 0.018937763-0.000616266       4.804    -1.03895   0.2684161-0.015504304 0.000317944       0.397      0.4133   0.1047996-0.007205978 0.000152639</t>
  </si>
  <si>
    <t>curves\hd\10/8-HDP200FF-METAL</t>
  </si>
  <si>
    <t>11/4-HDF100D-METAL</t>
  </si>
  <si>
    <t>WPA4C51</t>
  </si>
  <si>
    <t>4 AHF;4 AHF;4 AHF</t>
  </si>
  <si>
    <t xml:space="preserve">  500.00 1200.00 1600.00</t>
  </si>
  <si>
    <t xml:space="preserve">       7    39.9    70.2</t>
  </si>
  <si>
    <t xml:space="preserve">    55.7   130.8   174.3</t>
  </si>
  <si>
    <t>7;7;7;6.7;6.4;6.1;6;5.7;5|39.9;39.8;39.4;39;38.3;37.1;36.6;34.9;33.1;31.7;29.7|70.2;70.5;69.8;69;67.7;66.5;65.5;62;57.5;55.6;52.8</t>
  </si>
  <si>
    <t>0;45;55;60;64;66;68.1;66;64|0;45;55;60;64;66;67;68.1;67;66;64|0;45;55;60;64;66;67;68.1;67;66;63</t>
  </si>
  <si>
    <t>0;14;19.8;24.8;32.7;39.2;44.2;46;55.7|0;31.3;44.6;53.9;65.4;74.7;82.6;95.9;109.6;119.3;130.8|0;41.3;58.6;70.8;85.1;96.3;104.2;125.7;152.3;161.3;174.3</t>
  </si>
  <si>
    <t>0.9;0.9;0.9;0.9;0.9;0.9;1;1.1;1.2|0.9;2;2.5;2.8;3.2;3.4;3.6;4.1;4.5;4.7;5.1|2.5;3.5;4.3;4.6;5.2;5.5;5.9;6.5;7;7.4;8</t>
  </si>
  <si>
    <t xml:space="preserve">   5  10  10</t>
  </si>
  <si>
    <t xml:space="preserve">       6.996      .20573   -.0886424  .009323134 -.000400907      39.891      .17798    -.050184 -.003787865  .000156724      70.194      .40597   -.0730987 -.001691216  7.3049E-05</t>
  </si>
  <si>
    <t xml:space="preserve">      -0.037    24.44925  -3.6180956 0.266578399-0.008300967       0.006    20.54564  -2.3373121 0.124512242-0.002854182      -0.016    15.79115  -1.4159059  0.06239317-0.001217042</t>
  </si>
  <si>
    <t xml:space="preserve">       0.898     0.06547  -0.0316182 0.004363697-0.000164149       0.897     0.36914  -0.0007289-0.000694761   3.577E-05       2.504    -0.00396    0.087255-0.007537756  0.00020523</t>
  </si>
  <si>
    <t>DAM</t>
  </si>
  <si>
    <t>DDAM</t>
  </si>
  <si>
    <t xml:space="preserve"> 45.0 55.0 60.0 64.0 66.0 67.0  0.0  0.0</t>
  </si>
  <si>
    <t xml:space="preserve">     500     700     900    1050    1200    1350    1500    1600</t>
  </si>
  <si>
    <t>28;529;0;180|598;25;0;80||</t>
  </si>
  <si>
    <t>11_4-HDF100D-METAL.png</t>
  </si>
  <si>
    <t>12/10-HD250G-METAL</t>
  </si>
  <si>
    <t>WPG1210AH30</t>
  </si>
  <si>
    <t>12/10 AH-M</t>
  </si>
  <si>
    <t>84.3;84.7;82.9;80.3;78;74.5;67;60</t>
  </si>
  <si>
    <t>0;40;60;70;75;78;80;78</t>
  </si>
  <si>
    <t>0;104;218;303;362;430;556;650</t>
  </si>
  <si>
    <t>3.1;3.1;4.4;5.2;6.3;7.6;11;14</t>
  </si>
  <si>
    <t xml:space="preserve">        84.3      .35568   -.0663059   .00094832 -1.1782E-05</t>
  </si>
  <si>
    <t xml:space="preserve">       0.243     12.3562  -0.8446325 0.030252872-0.000447436</t>
  </si>
  <si>
    <t xml:space="preserve">       3.064    -0.04308   0.0221715 -0.00037844   8.202E-06</t>
  </si>
  <si>
    <t>curves\hd\12/10-HD250G-METAL</t>
  </si>
  <si>
    <t>12/10 AH</t>
  </si>
  <si>
    <t>HD250147G-CR</t>
  </si>
  <si>
    <t>40;60;70;75;78;80;</t>
  </si>
  <si>
    <t>300;400;500;600;700;800;900</t>
  </si>
  <si>
    <t>12/10-HD250G-RUBBER</t>
  </si>
  <si>
    <t>WPG1210AH32</t>
  </si>
  <si>
    <t>12/10 AH-R</t>
  </si>
  <si>
    <t>44.9;44.6;43.9;42.7;41.7;39.3;36.6;34</t>
  </si>
  <si>
    <t>0;40;60;70;75;80;81;80</t>
  </si>
  <si>
    <t>0;80;155;225;272;354;425;488</t>
  </si>
  <si>
    <t>2;2;3;4;5;6;7;8</t>
  </si>
  <si>
    <t xml:space="preserve">      44.903     -.04998    -.010103 -.001566438  3.8304E-05</t>
  </si>
  <si>
    <t xml:space="preserve">       0.056    16.44913   -1.457622 0.066618421-0.001249181</t>
  </si>
  <si>
    <t xml:space="preserve">       2.001    -0.26505   0.1023469-0.006434882 0.000138019</t>
  </si>
  <si>
    <t>HD250 (5)</t>
  </si>
  <si>
    <t>curves\hd\12_10-hdm250f-rubber</t>
  </si>
  <si>
    <t>HDM250147F-RU</t>
  </si>
  <si>
    <t>40;60;70;75;80;81;</t>
  </si>
  <si>
    <t>300;350;400;450;500;550;600;650;700</t>
  </si>
  <si>
    <t>12/10-HDM250F-METAL</t>
  </si>
  <si>
    <t>curves\hd\12_10-hdm250f-metal</t>
  </si>
  <si>
    <t>HDM250147F-CR</t>
  </si>
  <si>
    <t>12/10-HDM250F-RUBBER</t>
  </si>
  <si>
    <t>12/10-HDP250FF-METAL</t>
  </si>
  <si>
    <t>curves\hd\12/10-HDP250FF-METAL</t>
  </si>
  <si>
    <t>14/12-HD300GART-METAL</t>
  </si>
  <si>
    <t>14/12 AH-WRT</t>
  </si>
  <si>
    <t>87.7;86.6;85.6;84.7;83.2;81.4;79.5;76.9;73.3;69.8;68</t>
  </si>
  <si>
    <t>0;60;68;72;76;78;79;79.4;79;78;77</t>
  </si>
  <si>
    <t>0;296.8;387.4;450.5;543.2;631.6;709.5;816.8;938.9;1055;1105</t>
  </si>
  <si>
    <t>2;2.2;3;3.5;5.5;6.7;8;10;12.3;13.5;13</t>
  </si>
  <si>
    <t xml:space="preserve">      87.698      .22155   -.1974867 -.000590913  .000189266</t>
  </si>
  <si>
    <t xml:space="preserve">       0.004    31.97095  -4.9207694 0.349426478-0.009849645</t>
  </si>
  <si>
    <t xml:space="preserve">        1.99    -0.28676   0.0429743 0.035057072-0.002559182</t>
  </si>
  <si>
    <t>HD300145GART-METAL</t>
  </si>
  <si>
    <t>HD005G</t>
  </si>
  <si>
    <t>HD005GG</t>
  </si>
  <si>
    <t xml:space="preserve"> 60.0 68.0 72.0 76.0 78.0  0.0  0.0  0.0</t>
  </si>
  <si>
    <t xml:space="preserve">     400     450     500     550     600     650     700       0</t>
  </si>
  <si>
    <t>19;494;0;1000|629;10;0;100||</t>
  </si>
  <si>
    <t>14_12-HD300GART-METAL.png</t>
  </si>
  <si>
    <t>14/12-HD300G-METAL</t>
  </si>
  <si>
    <t>WPG1412AH30</t>
  </si>
  <si>
    <t>14/12 AH-M</t>
  </si>
  <si>
    <t>88;88.2;88;87.2;84.8;80.4;74.1;67.1;59.4</t>
  </si>
  <si>
    <t>0;40;50;60;70;75;77;75;70</t>
  </si>
  <si>
    <t>0;163;225;310;460;635;810;980;1140</t>
  </si>
  <si>
    <t>2.5;2.5;3;4.7;7.3;11;15;19.5;24.5</t>
  </si>
  <si>
    <t xml:space="preserve">      87.988      .59411   -.2516564 -.009042597  .000637383</t>
  </si>
  <si>
    <t xml:space="preserve">      -0.002    32.31269  -5.3960233  0.43042631-0.013905617</t>
  </si>
  <si>
    <t xml:space="preserve">       2.464     -0.8666   0.6646599-0.065725296 0.002542673</t>
  </si>
  <si>
    <t>curves\hd\14/12-HD300G-METAL</t>
  </si>
  <si>
    <t>14/12 AH</t>
  </si>
  <si>
    <t>HD300147G-CR</t>
  </si>
  <si>
    <t>40;50;60;70;75;77;</t>
  </si>
  <si>
    <t>14/12-HD300G-RUBBER</t>
  </si>
  <si>
    <t>WPG1412AH32</t>
  </si>
  <si>
    <t>14/12 AH-R</t>
  </si>
  <si>
    <t>47;46.6;46.2;45.7;44.3;42.7;40.6;38.8;37.2;34.5;31.8</t>
  </si>
  <si>
    <t>0;40;50;60;70;75;78;79;78;75;70</t>
  </si>
  <si>
    <t>0;125;175;226;350;450;565;646;705.5;800;888.5</t>
  </si>
  <si>
    <t>1.7;1.7;1.9;2.3;3.6;4.6;6;7.3;8.2;10;11.6</t>
  </si>
  <si>
    <t xml:space="preserve">      47.019     -.03894   -.0116642  5.5535E-05  -1.001E-06</t>
  </si>
  <si>
    <t xml:space="preserve">      -0.055    10.59365  -0.5799377 0.015489927 -0.00016887</t>
  </si>
  <si>
    <t xml:space="preserve">       1.677    -0.08656   0.0217834-0.000562416   6.767E-06</t>
  </si>
  <si>
    <t>curves\hd\14/12-HD300G-RUBBER</t>
  </si>
  <si>
    <t>HD300147G-RU</t>
  </si>
  <si>
    <t>40;50;60;70;75;78;79;</t>
  </si>
  <si>
    <t>300;350;400;450;500;500</t>
  </si>
  <si>
    <t>14/12-HDM300F-METAL</t>
  </si>
  <si>
    <t>14/12-HDM300F-RUBBER</t>
  </si>
  <si>
    <t>HD300 (5)</t>
  </si>
  <si>
    <t>curves\hd\14_12-hdm300f-rubber</t>
  </si>
  <si>
    <t>HDM300147F-RU</t>
  </si>
  <si>
    <t>14/12-HDP300GP-METAL</t>
  </si>
  <si>
    <t>curves\hd\14/12-HDP300GP-METAL</t>
  </si>
  <si>
    <t>GP</t>
  </si>
  <si>
    <t>15/6-HDF150E-METAL</t>
  </si>
  <si>
    <t>ESY8661</t>
  </si>
  <si>
    <t>6 AHF;6 AHF;6 AHF</t>
  </si>
  <si>
    <t xml:space="preserve">  450.00  700.00  850.00</t>
  </si>
  <si>
    <t xml:space="preserve">      11    26.5    39.1</t>
  </si>
  <si>
    <t xml:space="preserve">   165.5   261.7   306.1</t>
  </si>
  <si>
    <t>11;10.3;10.2;10.2;10;9.9;9.6;9.3;9;8.4;7.4;6.7|26.5;25.1;24.8;24.6;24.3;23.8;23.2;22.3;21.5;20;17.7;16.3|39.1;36.9;36.5;36.2;35.9;35.1;34.2;33;31.4;29.4;26.2</t>
  </si>
  <si>
    <t>0;40;50;55;60;65;67;67.6;67;65;60;58|0;40;50;55;60;65;67;67.6;67;65;60;58|0;40;50;55;60;65;67;67.6;67;65;60</t>
  </si>
  <si>
    <t>0;37.7;53.5;63.3;80.3;100.4;112;120.5;130.8;142.4;157.6;165.5|0;59;82.8;98.6;118.7;147.9;169.8;189.9;205.7;226.4;250.7;261.7|0;71.8;100.4;120.5;143.6;178.9;204.5;227.6;251.3;275.7;306.1</t>
  </si>
  <si>
    <t>1.1;1.3;1.4;1.5;1.6;2.2;2.3;2.4;2.6;2.8;3;3.3|1.1;1.46;1.8;2.2;2.4;2.8;3.3;3.5;3.8;4;4.7;5|1.1;1.6;2.1;2.4;3.8;3.3;3.7;4;4.5;5.3;5.5</t>
  </si>
  <si>
    <t xml:space="preserve">      10.999     -.31319    .0428547 -.002189375 -1.2236E-05      26.499      -.8612    .1399113 -.009240354 -.000490393      39.104    -1.35901    .2728429 -.025770785  .000450636</t>
  </si>
  <si>
    <t xml:space="preserve">       0.021    14.74797  -1.3302246 0.068452731-0.001768536       0.017    22.70943  -2.8680597  0.19299701 -0.00726157           0    18.87946  -2.0345035 0.121133311 -0.00393802</t>
  </si>
  <si>
    <t xml:space="preserve">        1.11    -0.01107   0.0140049-0.000344757    4.17E-07       1.101    -0.16966   0.1903426-0.025670446 0.001188017       1.075    -0.17921   0.1949213-0.023565149 0.000926456</t>
  </si>
  <si>
    <t>EAM</t>
  </si>
  <si>
    <t>EEAM</t>
  </si>
  <si>
    <t xml:space="preserve"> 40.0 50.0 55.0 60.0 65.0 67.0  0.0  0.0</t>
  </si>
  <si>
    <t xml:space="preserve">     550     600     650     700     750     800     850       0</t>
  </si>
  <si>
    <t>33;526;0;300|598;23;0;40||</t>
  </si>
  <si>
    <t>15_6-HDF150E-METAL.png</t>
  </si>
  <si>
    <t>16/14-HD350H-METAL</t>
  </si>
  <si>
    <t>WPG1614AH30</t>
  </si>
  <si>
    <t>16/14 AH-M</t>
  </si>
  <si>
    <t>62;63.5;63.55;62.8;61.7;59.2;54;49</t>
  </si>
  <si>
    <t>0;50;60;70;75;80;82;80</t>
  </si>
  <si>
    <t>0;220;305;442;558;740;980;1185</t>
  </si>
  <si>
    <t>4.1;4.1;4.1;4.5;5.3;6.7;10;13.8</t>
  </si>
  <si>
    <t xml:space="preserve">       62.01     1.15036   -.2173651 -.000906072  .000272488</t>
  </si>
  <si>
    <t xml:space="preserve">       0.062    32.58066  -5.4483738 0.439545822 -0.01382202</t>
  </si>
  <si>
    <t xml:space="preserve">       4.106    -0.09379   0.0125975 0.008379306-0.000248759</t>
  </si>
  <si>
    <t>curves\hd\16/14-HD350H-METAL</t>
  </si>
  <si>
    <t>16/14 AH</t>
  </si>
  <si>
    <t>HDM350147H-CR</t>
  </si>
  <si>
    <t>50;60;70;75;80;82;</t>
  </si>
  <si>
    <t>250;300;350;400;450;500;550</t>
  </si>
  <si>
    <t>16/14-HD350H-RUBBER</t>
  </si>
  <si>
    <t>WPG1614AH32</t>
  </si>
  <si>
    <t>16/14 AH-R</t>
  </si>
  <si>
    <t>42.3;43.2;43.15;42.5;41.7;39.8;36.3;32</t>
  </si>
  <si>
    <t>0;190;257;370;453;605;800;1000</t>
  </si>
  <si>
    <t>3.3;3.3;3.5;4;4.5;5.8;8;10.5</t>
  </si>
  <si>
    <t xml:space="preserve">        42.3      1.0011   -.2917316  .010235419   -.0001376</t>
  </si>
  <si>
    <t xml:space="preserve">       0.027    37.56663  -7.0695723  0.64077389 -0.02295417</t>
  </si>
  <si>
    <t xml:space="preserve">       3.297     -0.1489   0.0749724 0.005838465-0.000464227</t>
  </si>
  <si>
    <t>curves\hd\16/14-HD350H-RUBBER</t>
  </si>
  <si>
    <t>HD350147H-RU</t>
  </si>
  <si>
    <t>250;300;350;400;450;450</t>
  </si>
  <si>
    <t>16/14-HDM350G-METAL</t>
  </si>
  <si>
    <t>HD350 (5)</t>
  </si>
  <si>
    <t>curves\hd\16_14-hdm350g-metal</t>
  </si>
  <si>
    <t>HDM350147G-CR</t>
  </si>
  <si>
    <t>16/14-HDM350G-RUBBER</t>
  </si>
  <si>
    <t>curves\hd\16_14-hdm350g-rubber</t>
  </si>
  <si>
    <t>HDM350147G-RU</t>
  </si>
  <si>
    <t xml:space="preserve">2 AHF </t>
  </si>
  <si>
    <t>2 AHF;2 AHF;2 AHF</t>
  </si>
  <si>
    <t xml:space="preserve"> 1000.00 2000.00 2600.00</t>
  </si>
  <si>
    <t xml:space="preserve">     8.4    33.8    57.1</t>
  </si>
  <si>
    <t xml:space="preserve">    17.3    35.6    45.2</t>
  </si>
  <si>
    <t>8.4;8.3;8.3;8.2;8.1;8;7.8;7.7;7.3;7.3|33.8;33.5;33;32.7;32.1;31.6;31.1;30.1;28.8;28.1;27.8|57.1;56.5;55.7;55.1;54.2;53.2;52.4;50.6;48.6;47.4;47</t>
  </si>
  <si>
    <t>0;30;40;45;50;53;55;56.6;55;53|0;30;40;45;50;53;55;56.6;55;53;52|0;30;40;45;50;53;55;56.6;55;53;52</t>
  </si>
  <si>
    <t>0;3.9;5.7;6.8;8.2;9.4;10.7;12.6;15.1;17.3|0;7.8;11.4;13.7;16.5;18.9;21.3;25.8;30.8;33.6;35.6|0;10.1;14.9;17.8;21.4;24.4;27.4;33.3;40.1;43.9;45.2</t>
  </si>
  <si>
    <t>2;2;2;2;2;2.2;2.3;2.5;2.8;3.4|2;2;2.4;2.6;3.2;3.5;3.9;4.8;6;6.5;51|2;2.3;2.6;3.4;4;4.5;5.3;6.3;7;7.4;7.5</t>
  </si>
  <si>
    <t xml:space="preserve">   1   5   5</t>
  </si>
  <si>
    <t xml:space="preserve">         8.4     -.05293    .0153008 -.002214249  7.4677E-05      33.804      .10738   -.2166263  .007509521  .000565077      57.091      .28545   -.3167479  .022940865 -.000555964</t>
  </si>
  <si>
    <t xml:space="preserve">       0.012     8.84893  -0.2537809-0.014896848  0.00059092       0.015    22.43179  -1.8960583-0.148354856 0.016256964       0.012    17.47886  -1.2755535-0.034793243 0.003588366</t>
  </si>
  <si>
    <t xml:space="preserve">       2.007    -0.03109   0.0059279-0.000241908  1.5505E-05       2.835    -22.5891   19.031826-4.876570358  0.38751618       2.017    -0.51741   0.3511095 -0.03138592 0.000690228</t>
  </si>
  <si>
    <t xml:space="preserve"> 30.0 40.0 45.0 50.0 53.0 55.0  0.0  0.0</t>
  </si>
  <si>
    <t xml:space="preserve">    1000    1250    1500    1750    2000    2200    2400    2600</t>
  </si>
  <si>
    <t>28;534;0;45|617;22;0;60||</t>
  </si>
  <si>
    <t>2_AHF_.png</t>
  </si>
  <si>
    <t>2/1.5-HD42B-METAL</t>
  </si>
  <si>
    <t>WPG215AH31</t>
  </si>
  <si>
    <t>2/1.5 AH-M</t>
  </si>
  <si>
    <t>2/1.5 AH-M;2/1.5 AH-M;2/1.5 AH-M;2/1.5 AH-M;2/1.5 AH-M;2/1.5 AH-M</t>
  </si>
  <si>
    <t xml:space="preserve"> 1200.00 1600.00 2000.00 2400.00 2800.00 3200.00</t>
  </si>
  <si>
    <t xml:space="preserve">     8.2      16    24.5      36      48    63.1</t>
  </si>
  <si>
    <t xml:space="preserve">       9      12    14.8    17.6    20.8    24.1</t>
  </si>
  <si>
    <t>8.2;8.3;7.7;7;4.2|16;15.2;14.6;14;11.7;8.8|24.5;24.2;23.8;22.4;18.6;14.9;14.4|36;35.2;34.5;33.1;31.5;26.2;20.2|48;47.6;46.7;43.7;36.3;26.9|63.1;62.3;61.2;58.9;55.6;47.3;34.2</t>
  </si>
  <si>
    <t>0;20;30;35;36|0;20;30;35;40.2;38|0;20;30;40;45;40;39|0;20;30;40;45;46.75;39.8|0;20;35;45;46;39.8|0;20;30;40;45;47.32;39.8</t>
  </si>
  <si>
    <t>0;2.4;4.5;6.1;9|0;2.4;4.2;5.5;9.5;12|0;2.4;4;6.6;11.2;14.4;14.8|0;2.4;4;6.5;8.8;13.6;17.6|0;2.7;5.6;9.8;15.9;20.8|0;3.3;5.8;9.3;12.4;18.1;24.1</t>
  </si>
  <si>
    <t>1.2;1.4;1.4;1.4;1.7|0;2.8;2.9;1.4;4.1;5.2|0;2.8;2.9;3.1;4.8;7.1;7.4|0;2.8;2.9;2.9;4.1;6.4;9.8|3.2;2.8;2.8;4.3;8.4;12.8|3.2;2.8;2.6;3.6;5.7;10;17.1</t>
  </si>
  <si>
    <t xml:space="preserve">   1   1   1   1   1   1</t>
  </si>
  <si>
    <t xml:space="preserve">       8.208      .12253   -.0344809 -.003171108      16.019     -.42945    .0386099 -.004402707      24.493      .01996   -.0530172  .000375873      35.974     -.24767   -.0251129  -.00067088      47.993     -.02916   -.0354423 -.000571762      63.083     -.11359   -.0326416 -.000513445</t>
  </si>
  <si>
    <t xml:space="preserve">       0.042    10.10736  -0.8186666 0.015550035      -0.008    10.09221  -0.7661736 0.015753277        0.03     9.74878  -0.6129791 0.008940872       0.194     9.51869  -0.5801553 0.009524326       0.027     8.70871  -0.4965028 0.008167054       0.354     6.61354  -0.2760145 0.002894606</t>
  </si>
  <si>
    <t xml:space="preserve">         1.2     0.16456  -0.0414444 0.003259209       6.194      -1.911   0.2630787-0.009192416       2.963     -0.0884    0.010314 0.001084777       3.171    -0.23841   0.0372201-0.000132785        3.24     -0.3357   0.0517441-0.000648455       3.238    -0.33123   0.0444591-0.000285738</t>
  </si>
  <si>
    <t>WPA215B01</t>
  </si>
  <si>
    <t>CSP215B01</t>
  </si>
  <si>
    <t>curves\hd\2_1.5-hd42b-metal</t>
  </si>
  <si>
    <t>2/1.5 AH</t>
  </si>
  <si>
    <t>HD42127B-CR</t>
  </si>
  <si>
    <t xml:space="preserve"> 20.0 30.0 35.0 40.0 45.0  0.0  0.0  0.0</t>
  </si>
  <si>
    <t xml:space="preserve">    1200    1600    2000    2400    2800    3200       0       0</t>
  </si>
  <si>
    <t>44;535;0;25|477;6;0;70||636;520;0;20</t>
  </si>
  <si>
    <t>HD32_(5VO-M).png</t>
  </si>
  <si>
    <t>2/1.5-HD42B-RUBBER</t>
  </si>
  <si>
    <t>WPG215AH33</t>
  </si>
  <si>
    <t>2/1.5 AH-R</t>
  </si>
  <si>
    <t>2/1.5 AH-R;2/1.5 AH-R;2/1.5 AH-R;2/1.5 AH-R;2/1.5 AH-R;2/1.5 AH-R</t>
  </si>
  <si>
    <t xml:space="preserve"> 1000.00 1200.00 1600.00 2000.00 2400.00 2600.00</t>
  </si>
  <si>
    <t xml:space="preserve">     7.2      10    17.4    27.5    38.2    44.6</t>
  </si>
  <si>
    <t xml:space="preserve">     7.4     9.2    10.9    13.5    15.5    16.5</t>
  </si>
  <si>
    <t>7.2;7.2;7.1;7;5.8;4.7|10;10;10;9.6;8.6;8.2;6.3|17.4;16.7;16.2;15.9;15.3;14.5;13.5;11.6|27.5;26.6;25.9;25.1;23.3;21.2;18.5|38.2;37;34.9;33.8;29.8;26.8|44.6;44;43.2;41.4;40;37.4;35.2;32.1</t>
  </si>
  <si>
    <t>0;20;30;40;43;40.55|0;20;30;40;45;46;42.5|0;20;30;40;45;50;50.15;49.98|0;20;30;40;50;50.95;49.8|0;20;40;44;50.9;49.97|0;20;30;40.5;43.8;51.5;50.8;50</t>
  </si>
  <si>
    <t>0;1.1;1.9;2.8;5.6;7.4|0;1.4;2.2;3.3;5.8;6.8;9.2|0;1.8;2.9;4.3;5.8;7.4;9;10.9|0;2.3;3.7;5.7;8.9;11.3;13.5|0;2.7;6.8;8.5;13;15.5|0;2.9;4.8;7.4;9.4;11.9;13.8;16.5</t>
  </si>
  <si>
    <t>0;0.8;0.9;1;1.3;1.6|2.2;2.2;2.1;2.2;2.4;2.7;3.3|2.2;2.2;2.3;2.2;2.4;2.8;3.3;4.2|0.2;2.2;2.2;2.4;3.4;4.8;6|2.2;2.1;2.6;3.2;5.7;8|2.2;2.2;2.3;2.8;3.5;5;6.5;9.3</t>
  </si>
  <si>
    <t xml:space="preserve">       7.189      .09609   -.0682713  .001315691      10.018      .05976   -.0498903 -3.6705E-05      17.406     -.49784    .0532335 -.005171568      27.521     -.48655    .0293683 -.003170435      38.192     -.42388   -.0002888 -.001278813      44.587     -.03078    -.058712  .000883266</t>
  </si>
  <si>
    <t xml:space="preserve">      -0.372    22.90734  -3.7455047 0.188392953      -0.467    18.68182  -2.3869789 0.093853247      -0.208    13.45038  -1.1190151 0.028079662      -0.059    10.07226   -0.567036 0.006945352        0.06     8.46993   -0.430171 0.005941526       0.183     7.65257  -0.3234009 0.002613302</t>
  </si>
  <si>
    <t xml:space="preserve">       0.623     0.18515  -0.0247792 0.002379151       2.214    -0.07188   0.0176033 0.000340345       2.215     -0.0101  -0.0021677 0.001827431       0.373     0.78453  -0.0928963 0.004922605       2.199     -0.0861   0.0159168 0.000887402       2.221    -0.06653   0.0117229 0.001114559</t>
  </si>
  <si>
    <t>WPA215B02</t>
  </si>
  <si>
    <t>CSP215B02</t>
  </si>
  <si>
    <t>curves\hd\2_1.5-hd42b-rubber</t>
  </si>
  <si>
    <t>HD42127B-RU</t>
  </si>
  <si>
    <t xml:space="preserve"> 20.0 30.0 40.0 45.0 50.0  0.0  0.0  0.0</t>
  </si>
  <si>
    <t xml:space="preserve">    1000    1300    1600    1800    2000    2200    2400    2600</t>
  </si>
  <si>
    <t>41;533;0;18|460;7;0;50||615;502;0;10</t>
  </si>
  <si>
    <t>2_1.5-HD42B-RUBBER.png</t>
  </si>
  <si>
    <t>2/2-CT50B-METAL</t>
  </si>
  <si>
    <t xml:space="preserve">2/2-CT50B-METAL            </t>
  </si>
  <si>
    <t>23.5;22.7;22;21.3;19.7;18.1;16.2</t>
  </si>
  <si>
    <t>0;20;30;35;40;41;39.89</t>
  </si>
  <si>
    <t>0;3.4;6.2;8.2;12.1;15;17.6</t>
  </si>
  <si>
    <t>0;0;0;0;0;0;0</t>
  </si>
  <si>
    <t xml:space="preserve">      23.496     -.21118   -.0041237 -.000203374 -1.2393E-05</t>
  </si>
  <si>
    <t xml:space="preserve">       0.007     7.42001   -0.516731 0.018779199-0.000344211</t>
  </si>
  <si>
    <t>2/2TC-METAL</t>
  </si>
  <si>
    <t>CT50191B-METAL</t>
  </si>
  <si>
    <t>HD005B</t>
  </si>
  <si>
    <t xml:space="preserve"> 20.0 30.0 35.0 40.0  0.0  0.0  0.0  0.0</t>
  </si>
  <si>
    <t xml:space="preserve">     700     900    1000    1100    1200    1300    1400    1500</t>
  </si>
  <si>
    <t>37;534;0;18|623;9;0;25||</t>
  </si>
  <si>
    <t>2_2-CT50B-METAL.png</t>
  </si>
  <si>
    <t>2/2-CT50C-METAL</t>
  </si>
  <si>
    <t xml:space="preserve">2/2-CT50C-METAL            </t>
  </si>
  <si>
    <t>CT50191C-METAL</t>
  </si>
  <si>
    <t>HD005C</t>
  </si>
  <si>
    <t>HD005CC</t>
  </si>
  <si>
    <t>20/18-HDM450G-METAL</t>
  </si>
  <si>
    <t>WPG 2018AH30</t>
  </si>
  <si>
    <t>20/18-HDM450G-METAL;20/18-HDM450G-METAL;20/18-HDM450G-METAL;20/18-HDM450G-METAL;20/18-HDM450G-METAL</t>
  </si>
  <si>
    <t xml:space="preserve">  200.00  250.00  300.00  350.00  450.00</t>
  </si>
  <si>
    <t xml:space="preserve">    14.6    22.9      33    45.1    73.3</t>
  </si>
  <si>
    <t xml:space="preserve">   948.9    1185    1418    1658    2045</t>
  </si>
  <si>
    <t>14.6;14.8;14.8;14.6;14.5;14.1;13.4;12.7;11.9;10.7|22.9;23.2;23.1;22.9;22.5;21.8;20.8;20;18.4;16.7|33;33.4;33.4;33;32.5;31.7;30.3;28.9;26.7;24.1|45.1;45.6;45.4;45.1;44.2;43;41.3;39.2;36.1;32.9|73.3;73.8;73.5;73.1;71.9;70;66.6;63.3;58.3;52.8</t>
  </si>
  <si>
    <t>0;40;50;60;70;75;80;83;85;82.8|0;40;50;60;70;75;80;83;85;83|0;40;50;60;70;75;80;83;85;83|0;40;50;60;70;75;80;83;85;83|0;40;50;60;70;75;80;83;85;83</t>
  </si>
  <si>
    <t>0;114.5;159.5;224.9;319;400.8;511.2;617.6;756.6;948.9|0;154.8;203.7;285.1;403.3;505.1;643.6;773.9;953.2;1185|0;179.2;240.3;342.2;484.7;606.9;773.9;928.7;1145;1418|0;207.7;281.1;395.1;566.2;708.8;900.2;1084;1340;1658|0;260.7;366.6;513.2;716.9;904.3;1169;1397;1723;2045</t>
  </si>
  <si>
    <t>0.8;0.7;0.8;0.8;1.2;1.3;1.6;1.9;2.3;2.8|0;0;0;0;0;0;0;0;0;0|0;0;0;0;0;0;0;0;0;0|0;0;0;0;0;0;0;0;0;0|3.3;3.4;3.5;3.8;4.5;5.4;7;8.5;10.4;11.5</t>
  </si>
  <si>
    <t xml:space="preserve">  25 100 100 100 100</t>
  </si>
  <si>
    <t xml:space="preserve">      14.592      .08524   -.0091929  .000110187     5.4E-08      22.905      .40267   -.1632349  .009101807 -.000162684       33.01      .42986   -.1308217  .003905689   3.975E-06      45.123      .41528   -.1120981  .001299377  7.6412E-05      73.266      .47576   -.1069348  .001376713  1.5946E-05</t>
  </si>
  <si>
    <t xml:space="preserve">       0.248    11.10392  -0.6293236    0.017131-0.000177807      -0.008    34.26906  -5.9153372 0.493669342  -0.0159219       0.128    29.09965  -4.3123557 0.308367239-0.008458589       0.134    25.02225  -3.1864225 0.195427082-0.004590356       0.174    19.60043  -1.9763419 0.096856527-0.001829336</t>
  </si>
  <si>
    <t xml:space="preserve">        0.79     -0.0466   0.0082398-0.000246401   2.597E-06           0           0           0           0           0           0           0           0           0           0           0           0           0           0           0       3.314    -0.05334   0.0230547 0.001718667 -8.6187E-05</t>
  </si>
  <si>
    <t>HDM450147G-CR</t>
  </si>
  <si>
    <t xml:space="preserve"> 40.0 50.0 60.0 70.0 75.0 80.0 83.0  0.0</t>
  </si>
  <si>
    <t xml:space="preserve">     200     250     300     350     400     450       0       0</t>
  </si>
  <si>
    <t>42;533;0;2000|473;8;0;80||622;509;0;12</t>
  </si>
  <si>
    <t>20_18-HDM450G-METAL.png</t>
  </si>
  <si>
    <t>22/8-HDF200F-METAL</t>
  </si>
  <si>
    <t>8  AHF</t>
  </si>
  <si>
    <t>8 AHF;8 AHF;8 AHF</t>
  </si>
  <si>
    <t xml:space="preserve">  400.00  600.00  800.00</t>
  </si>
  <si>
    <t xml:space="preserve">    14.8      33    58.3</t>
  </si>
  <si>
    <t xml:space="preserve">   298.2   467.2   601.2</t>
  </si>
  <si>
    <t>14.8;14.8;14.9;14.8;14.5;14.1;13.8;13.1;12.1|33;33.4;33.3;32.9;32.5;31.9;31.2;30.2;29;27.7;26.1|58.3;58.8;58.8;58.3;57.4;56.4;55.5;53.3;50.3;48.1;45.9</t>
  </si>
  <si>
    <t>0;40;50;60;64;66;66.5;66;64|0;40;50;60;64;66;67;67.7;67;66;64|0;40;50;60;64;66;67;67.7;67;66;64</t>
  </si>
  <si>
    <t>0;64;90.5;135.2;171.4;199.2;225.8;262;298.2|0;90.5;129.2;188.3;230.6;266.8;298.2;344.1;380.3;420.1;467.2|0;118.3;167.8;243.9;295.8;339.2;375.5;443.1;517.9;561.4;601.2</t>
  </si>
  <si>
    <t>1.8;1.8;1.8;1.8;1.8;1.8;1.8;1.9;2|2.4;2.6;2.7;2.9;3;3.3;3.5;3.7;3.9;4.1;4.4|4;4.4;4.5;5;5.3;5.6;5.7;6.2;6.5;6.8;7</t>
  </si>
  <si>
    <t xml:space="preserve">  25  25  25</t>
  </si>
  <si>
    <t xml:space="preserve">      14.792      .00136    .0206417 -.004790805  .000123769      33.009      .14868   -.0082442 -.002015917  5.1845E-05      58.284      .21924   -.0157983 -.000932412  1.3389E-05</t>
  </si>
  <si>
    <t xml:space="preserve">      -0.016    21.60564  -2.6957332 0.161290302-0.004143342       0.009    14.96732  -1.2534996 0.048875302-0.000795079      -0.018    11.51988  -0.7458456 0.022869046-0.000297842</t>
  </si>
  <si>
    <t xml:space="preserve">       1.799    -0.00013    0.001696-0.000587878  4.7605E-05       2.405     0.03954   0.0015726 0.000360736  -1.366E-05       4.007     0.02121   0.0127454 -0.00054558   8.063E-06</t>
  </si>
  <si>
    <t xml:space="preserve"> 40.0 50.0 60.0 64.0 66.0 67.0  0.0  0.0</t>
  </si>
  <si>
    <t xml:space="preserve">     400     500     600     700     800       0       0       0</t>
  </si>
  <si>
    <t>30;527;0;600|597;24;0;60||</t>
  </si>
  <si>
    <t>22_8-HDF200F-METAL.png</t>
  </si>
  <si>
    <t>3 AHF;3 AHF;3 AHF</t>
  </si>
  <si>
    <t xml:space="preserve">  800.00 1600.00 2200.00</t>
  </si>
  <si>
    <t xml:space="preserve">       7    28.1    52.9</t>
  </si>
  <si>
    <t xml:space="preserve">    30.3    61.5    82.6</t>
  </si>
  <si>
    <t>7;7.1;7.1;7;7;6.9;6.8;6.6;6.2;5.9;5.8|28.1;28.4;28.4;28;27.8;27.4;27.1;26.1;24.9;24.3;23.6|52.9;53.6;53.5;53;52.4;51.9;51.2;49.5;47.1;45.8;44.6</t>
  </si>
  <si>
    <t>0;30;40;50;55;58;60;61.9;60;58;57|0;30;40;50;55;58;60;61.9;60;58;57|0;30;40;50;55;58;60;61.9;60;58;52</t>
  </si>
  <si>
    <t>0;5.9;8.7;12.3;14.4;16.2;18.5;22.6;26.2;28.8;30.3|0;12.3;17.5;24.2;28.8;32.7;36.2;44.5;52.8;57.1;61.5|0;17;24.4;33.9;40.1;45.2;49.9;61.3;72.8;78.5;82.6</t>
  </si>
  <si>
    <t>0;0;0;0;0;0;0;0;0;0;0|0;0;0;0;0;0;0;0;0;0;0|1.8;1.8;2.5;2.5;3.4;3.8;4.3;4.5;5.4;6.3;6.5</t>
  </si>
  <si>
    <t xml:space="preserve">   5   5   5</t>
  </si>
  <si>
    <t xml:space="preserve">       7.004      .11674   -.0333205 -.003623156   6.134E-05      28.099      .26894   -.0540009 -.001147296  .000109327      52.895      .46855   -.0821025   .00260009 -7.1383E-05</t>
  </si>
  <si>
    <t xml:space="preserve">       0.068    29.14526   -3.370706-0.109833172 0.020991442       0.017    13.60637  -0.4457702-0.063686186 0.003292802      -0.077    10.94433  -0.6673946 0.025997499-0.000844214</t>
  </si>
  <si>
    <t xml:space="preserve">           0           0           0           0           0           0           0           0           0           0       1.808    -0.33255    0.132205-0.010697008 0.000301144</t>
  </si>
  <si>
    <t xml:space="preserve"> 30.0 40.0 50.0 55.0 58.0 60.0  0.0  0.0</t>
  </si>
  <si>
    <t xml:space="preserve">     800    1000    1200    1400    1600    1800    2000    2200</t>
  </si>
  <si>
    <t>33;522;0;80|602;27;0;60||</t>
  </si>
  <si>
    <t>3_AHF.png</t>
  </si>
  <si>
    <t>3/2-HD50C-METAL</t>
  </si>
  <si>
    <t>WPG32AH30</t>
  </si>
  <si>
    <t>3/2 AH-M</t>
  </si>
  <si>
    <t>88;88.8;88.5;87.3;85.5;82.3;79.85;75.1;69;66</t>
  </si>
  <si>
    <t>0;7.2;11.1;16.6;20.9;27.2;31.1;38;44.3;47</t>
  </si>
  <si>
    <t>3;3;4;6.5;8;11.5;13.5;17.6;0;0</t>
  </si>
  <si>
    <t xml:space="preserve">      87.964     1.58621    -.724296  .061341116 -.003049912</t>
  </si>
  <si>
    <t xml:space="preserve">       0.026    26.93464  -4.9749663 0.486676538-0.020220671</t>
  </si>
  <si>
    <t xml:space="preserve">       2.992    -1.17556   0.9936038-0.124464649 0.006233057</t>
  </si>
  <si>
    <t>HD50 (5)</t>
  </si>
  <si>
    <t>curves\hd\3_2-hd50c-metal</t>
  </si>
  <si>
    <t>HD50147C-CR</t>
  </si>
  <si>
    <t>C2147</t>
  </si>
  <si>
    <t>1200;1500;1800;2100;2400;2700;3000;3200</t>
  </si>
  <si>
    <t>3/2-HD50C-METAL 2V</t>
  </si>
  <si>
    <t>WPG32AH10</t>
  </si>
  <si>
    <t>HD50 (2VO-M);HD50 (2VO-M);HD50 (2VO-M);HD50 (2VO-M)</t>
  </si>
  <si>
    <t xml:space="preserve"> 1500.00 1900.00 2300.00 2700.00</t>
  </si>
  <si>
    <t xml:space="preserve">    17.9    28.5    41.5    56.8</t>
  </si>
  <si>
    <t xml:space="preserve">      11    14.4    18.1    22.1</t>
  </si>
  <si>
    <t>17.9;16.8;16.4;14.9;13.4;11.9|28.5;27.4;26.8;25.7;24.2;22.8;20.6;18.7|41.5;40.2;39.6;38.5;37.4;36.6;35.3;33.6;32.1;30;28.7;26.6|56.8;55.7;54.9;53.8;51.7;50.6;48.7;44.3;39.8;37.4;35.7</t>
  </si>
  <si>
    <t>0;30;35;40;41.75;40|0;30;35;40;43;43.85;43;40|0;30;35;40;43;44;45;45.45;43;44;43;40|0;30;35;40;43;44;45;46;45;44;43</t>
  </si>
  <si>
    <t>0;4.1;5.5;7.5;9.6;11|0;4.7;6;7.9;9.8;11.2;13.2;14.4|0;5.2;6.6;8.6;10.3;11.1;12.4;13.7;15;16.2;17;18.1|0;5.4;7.1;9.6;11.9;13.1;14.6;17.8;20.1;21.4;22.1</t>
  </si>
  <si>
    <t>0.1;0.1;0.1;0.1;0.1;0.1|0.5;0.7;0.6;0.7;0.7;0.8;0.9;0.9|1.5;1.7;1.8;1.9;2;2;2.1;2.2;2.4;2.5;2.7;2.9|2.9;3.5;3.6;3.8;4;4.2;4.3;5;5.5;5.9;6</t>
  </si>
  <si>
    <t xml:space="preserve">   1   1   1   1</t>
  </si>
  <si>
    <t xml:space="preserve">      17.897     -.16954   -.0057383 -.003928147   .00012402      28.498      .01349   -.0641828  .003382976 -.000156932      41.501     -.22853    .0097562 -.002998519  3.5632E-05      56.798     -.15223     .002139 -.002497367  3.4482E-05</t>
  </si>
  <si>
    <t xml:space="preserve">       0.001    11.88807  -1.5657691 0.130637324-0.005136227      -0.008     9.52082  -0.8609947 0.049779671-0.001560411      -0.004     7.91896  -0.4753531 0.013455891-0.000251614      -0.001     8.32895  -0.6382101 0.025547665-0.000440608</t>
  </si>
  <si>
    <t xml:space="preserve">         0.1           0           0           0           0       0.501     0.17231  -0.0481548 0.004858526-0.000153566       1.499     0.01861   0.0079758-0.000842616  3.2231E-05       2.899     0.19138  -0.0215665 0.001398201   -2.37E-05</t>
  </si>
  <si>
    <t>curves\hd\hd50 (2vo-m)</t>
  </si>
  <si>
    <t>3/2 AH</t>
  </si>
  <si>
    <t>42;</t>
  </si>
  <si>
    <t>40;</t>
  </si>
  <si>
    <t>3;400;460;300;C065;C277;C066|4;400;460;300;C065;C277;C066|5.5;411;474;300;C065;C277;C066|7.5;411;474;300;C065;C277;C066|11;428;493;300;C065;C277;C066|15;428;493;300;C065;C277;C066|18.5;443;508;300;C065;C277;C066|22;443;508;300;C065;C277;C066|30;526;612;300;C065/2;C277/2;C066|37;546;628;410;C065/2;D277;C066|45;546;628;410;C065/2;D277;C066||4/3C|3;397;457;300;C065;C277;C066|4;397;457;300;C065;C277;C066|5.5;409;471;300;C065;C277;C066|7.5;409;471;300;C065;C277;C066|11;426;487;300;C065;C277;C066|15;426;487;300;C065;C277;C066|18.5;426;505;300;C065;C277;C066|22;426;505;300;C065;C277;C066|30;559;608;300;C065/2;C277/2;C066|37;575;625;410;C065/2;D277;C066|45;575;625;410;C065/2;D277;C066||4/3D|3;524;615;410;D065;D277;D066|4;542;615;410;D065;D277;D066|5.5;536;629;410;D065;D277;D066|7.5;536;629;410;D065;D277;D066|11;552;648;410;D065;D277;D066|15;552;648;410;D065;D277;D066|18.5;567;663;410;D065;D277;D066|22;567;663;410;D065;D277;D066|30;580;678;410;D065;D277;D066|37;619;711;470;D065/2;E277;D066|45;619;711;470;D065/2;E277;D066|55;633;726;470;D065/2;E277;D066|75;633;726;470;D065/2;E277;D066|90;656;751;470;D065/2;E277;D066|110;656;751;470;D065/2;E277;D066||6/4D|3;469;612;410;D065;D277;D066|4;469;627;410;D066;D277;D066|5.5;474;627;410;D067;D277;D066|7.5;474;627;410;D068;D277;D066|11;496;645;410;D069;D277;D066</t>
  </si>
  <si>
    <t>27% Chrome;Rubber;Hyper Chrome;Acid Resist Chrome;Blue Diamond;Nitrile ;Neoprene;Polyurethane;Ceramic;316 Stainless Steel;Ferralium;SAF2205 (Duplex SS)</t>
  </si>
  <si>
    <t>Curve created in SCG from Multotec Excel masterfile</t>
  </si>
  <si>
    <t>brochures\tech_vs.pdf</t>
  </si>
  <si>
    <t>Drawings\HD50AM</t>
  </si>
  <si>
    <t xml:space="preserve"> 30.0 35.0 40.0 43.0 44.0 45.0  0.0  0.0</t>
  </si>
  <si>
    <t>44;538;0;25|513;195;0;60||639;541;0;8</t>
  </si>
  <si>
    <t>HD50_(2VO-M).png</t>
  </si>
  <si>
    <t>3/2-HD50C-METAL 6V</t>
  </si>
  <si>
    <t>WPG32AH50</t>
  </si>
  <si>
    <t>3/2-HD50C-METAL 6V;3/2-HD50C-METAL 6V</t>
  </si>
  <si>
    <t xml:space="preserve"> 2500.00 3100.00</t>
  </si>
  <si>
    <t xml:space="preserve">    56.8      88</t>
  </si>
  <si>
    <t xml:space="preserve">    37.2      46</t>
  </si>
  <si>
    <t>56.8;56;54.9;53.7;51.8;45.3;36.5|88;85.7;84.1;82.4;79.9;74.8;69.2;62.5;57.2</t>
  </si>
  <si>
    <t>0;40;50;55;60;64.98;58.96|0;40;50;55;60;65;67;65;60</t>
  </si>
  <si>
    <t>0;8.5;12.5;15.3;19.5;28.9;37.2|0;10.4;15.5;19.1;23.7;30.3;36.1;41.9;46</t>
  </si>
  <si>
    <t>0;0;0;0;0;0;0|3;3.7;4.5;5.2;6.3;8.6;10.4;13.1;15.2</t>
  </si>
  <si>
    <t xml:space="preserve">        56.8      .32488   -.5299225  .044605361 -.003836443      87.997    -1.03119    .0877744 -.062169022  .002747123</t>
  </si>
  <si>
    <t xml:space="preserve">      -0.006    34.27891  -7.7872741 0.960715219-0.052435488       0.008    28.61298  -5.7309403 0.644642533-0.030737925</t>
  </si>
  <si>
    <t xml:space="preserve">           0           0           0           0           0       3.007     -0.0852   0.2191764-0.014410009 0.000786969</t>
  </si>
  <si>
    <t>HD50</t>
  </si>
  <si>
    <t>curves\hd\3/2-HD50C-METAL 6V</t>
  </si>
  <si>
    <t xml:space="preserve"> 40.0 50.0 55.0 60.0 65.0  0.0  0.0  0.0</t>
  </si>
  <si>
    <t xml:space="preserve">    1100    1500    1900    2300    2500    2700    2900    3100</t>
  </si>
  <si>
    <t>43;539;0;50|485;8;0;100||645;524;0;16</t>
  </si>
  <si>
    <t>3_2-HD50C-METAL_6V.png</t>
  </si>
  <si>
    <t>3/2-HD50C-RUBBER</t>
  </si>
  <si>
    <t>WPG32AH33</t>
  </si>
  <si>
    <t>3/2 AH-R</t>
  </si>
  <si>
    <t>48;48.4;48;47.5;46.4;44.5;40.2;36</t>
  </si>
  <si>
    <t>0;40;45;50;55;60;62;60</t>
  </si>
  <si>
    <t>0;6.2;8;9.5;11.9;15.25;21.2;26.1</t>
  </si>
  <si>
    <t>3.1;3.45;3.5;3.4;3.5;3.8;4.25;5</t>
  </si>
  <si>
    <t xml:space="preserve">      47.999     1.75558  -1.2977152  .132962572 -.006347719</t>
  </si>
  <si>
    <t xml:space="preserve">       0.057    45.28456 -13.2467676 1.957344495-0.126533809</t>
  </si>
  <si>
    <t xml:space="preserve">       3.105     0.50876   -0.299365 0.082983747-0.005946394</t>
  </si>
  <si>
    <t>curves\hd\3_2-hd50c-rubber</t>
  </si>
  <si>
    <t>HD50147C-RU</t>
  </si>
  <si>
    <t xml:space="preserve"> 40.0 45.0 50.0 55.0 60.0 62.0  0.0  0.0</t>
  </si>
  <si>
    <t xml:space="preserve">    1300    1500    1700    1900    2100    2300     0.0     0.0</t>
  </si>
  <si>
    <t>3/2-HHD50D-METAL</t>
  </si>
  <si>
    <t>WPG32HH30</t>
  </si>
  <si>
    <t>HH</t>
  </si>
  <si>
    <t>3/2 HH-M</t>
  </si>
  <si>
    <t>86.9;86.6;86.9;86.3;84.1;75.8;71.7</t>
  </si>
  <si>
    <t>0;20;30;40;45;46.8;47</t>
  </si>
  <si>
    <t>0;8.4;14.1;22.4;28.6;38.6;41.5</t>
  </si>
  <si>
    <t>1.4;1.4;1.5;2.8;4.5;8.3;9.7</t>
  </si>
  <si>
    <t xml:space="preserve">      86.891     -.67757    .4356251  -.07184282  .000325467</t>
  </si>
  <si>
    <t xml:space="preserve">        0.02    13.69107  -1.1201836 0.011449312 0.000803401</t>
  </si>
  <si>
    <t xml:space="preserve">       1.411    -0.04818  -0.0597685 0.041249718-0.002278964</t>
  </si>
  <si>
    <t>HHD80 (5)</t>
  </si>
  <si>
    <t>curves\hd\3_2-hhd50d-metal</t>
  </si>
  <si>
    <t>3/2 HH</t>
  </si>
  <si>
    <t>HHD50147D-CR</t>
  </si>
  <si>
    <t xml:space="preserve"> 20.0 30.0 40.0 43.0 45.0  0.0  0.0  0.0</t>
  </si>
  <si>
    <t xml:space="preserve">     850     950    1050    1150    1250    1350    1450       0</t>
  </si>
  <si>
    <t>45;532;0;45|521;197;0;100||628;547;0;12</t>
  </si>
  <si>
    <t>3/2-HHD50D-METAL.png</t>
  </si>
  <si>
    <t>4_AHF.png</t>
  </si>
  <si>
    <t>4/3-HD80D-METAL</t>
  </si>
  <si>
    <t>WPG43AH30</t>
  </si>
  <si>
    <t>4/3 AH-M</t>
  </si>
  <si>
    <t>82;81.6;81;80;77;73.4;64;55</t>
  </si>
  <si>
    <t>0;30;40;50;60;65;68;65</t>
  </si>
  <si>
    <t>0;10.5;16;23;36;48;69;84.3</t>
  </si>
  <si>
    <t>2.5;2.5;2.5;3;4.1;6.3;11;16</t>
  </si>
  <si>
    <t xml:space="preserve">      82.011     -.01005   -.0955858  .000457375 -2.3144E-05</t>
  </si>
  <si>
    <t xml:space="preserve">       0.035    17.88987  -1.9884063 0.109732165 -0.00244236</t>
  </si>
  <si>
    <t xml:space="preserve">       2.525     -0.1755   0.0594021-0.000312645  1.2777E-05</t>
  </si>
  <si>
    <t>HD80 (5)</t>
  </si>
  <si>
    <t>curves\hd\4_3-hdm80c-metal</t>
  </si>
  <si>
    <t>4/3 AH</t>
  </si>
  <si>
    <t>HD80147D-CR</t>
  </si>
  <si>
    <t xml:space="preserve"> 30.0 40.0 50.0 60.0 65.0 68.0  0.0  0.0</t>
  </si>
  <si>
    <t xml:space="preserve">    1000    1300    1600    1900    2200    2500    2800     0.0</t>
  </si>
  <si>
    <t>4/3-HD80D-METAL 6V</t>
  </si>
  <si>
    <t>WPG43AH50</t>
  </si>
  <si>
    <t>94.8;95.2;95;94.6;92.5;88.3;84.3;77.2;69.7</t>
  </si>
  <si>
    <t>0;30;40;50;60;68;72;74.5;71.89</t>
  </si>
  <si>
    <t>0;11;16.1;23.2;32.9;47.2;58.4;72.1;87.4</t>
  </si>
  <si>
    <t>4;4.2;4.5;5.5;6.8;9;10.8;13.7;17</t>
  </si>
  <si>
    <t xml:space="preserve">      94.807      .40048    -.089374 -.004499003  .000205576</t>
  </si>
  <si>
    <t xml:space="preserve">      -0.025    17.08291   -1.732243 0.091779678-0.002009261</t>
  </si>
  <si>
    <t xml:space="preserve">       3.967    -0.10647   0.1170038-0.006754022 0.000163307</t>
  </si>
  <si>
    <t>curves\hd\4/3-HD80D-METAL 6V</t>
  </si>
  <si>
    <t xml:space="preserve"> 30.0 40.0 50.0 60.0 68.0 72.0  0.0  0.0</t>
  </si>
  <si>
    <t xml:space="preserve">    1000    1200    1600    2000    2200    2400    2600    2750</t>
  </si>
  <si>
    <t>43;535;0;90|481;3;0;100||642;522;0;20</t>
  </si>
  <si>
    <t>4_3-HD80D-METAL_6V.png</t>
  </si>
  <si>
    <t>4/3-HD80D-RUBBER</t>
  </si>
  <si>
    <t>WPG43AH32</t>
  </si>
  <si>
    <t>4/3 AH-R</t>
  </si>
  <si>
    <t>4/3 AH-R;4/3 AH-R;4/3 AH-R;4/3 AH-R</t>
  </si>
  <si>
    <t xml:space="preserve">  800.00 1200.00 1600.00 1800.00</t>
  </si>
  <si>
    <t xml:space="preserve">     7.1    15.2    27.3    34.8</t>
  </si>
  <si>
    <t xml:space="preserve">    22.5    34.2      46    51.9</t>
  </si>
  <si>
    <t>7.1;7.2;7.2;7.1;6.8;6.1;4.6|15.2;15.5;15.5;15.1;13.2;10.1|27.3;27.7;27.8;27.7;27;26.2;23.4;19.6;18|34.8;35.2;35.2;34.9;34;33.1;29.8;25.1;22.9</t>
  </si>
  <si>
    <t>0;30;40;50;60;62;60|0;30;50;60;64.9;59.8|0;30;40;50;60;65;67;65;60|0;30;40;50;60;65;68;65;59.9</t>
  </si>
  <si>
    <t>0;3.1;4.5;7;10.9;16.5;22.5|0;4.1;9.3;14;24.5;34.2|0;5.7;7.9;12.3;18.4;22.5;32.8;42.4;46|0;6.5;9;13.9;21;25.9;36.8;47.3;51.9</t>
  </si>
  <si>
    <t>0.6;0.5;0.7;0.8;1.2;1.6;2.1|0.65;2;1.8;2.1;3.7;5.7|2;2;2;2.1;2.9;3.3;5.3;7.6;8.6|1.9;2;2;2.2;3.2;4;6.4;9.1;10.5</t>
  </si>
  <si>
    <t xml:space="preserve">   1   5   5   5</t>
  </si>
  <si>
    <t xml:space="preserve">       7.098      .07612   -.0150146  .000710695 -1.8357E-05      15.197      .57974   -.2537095  .015362623 -.000963295      27.289      .61629   -.1882432 -.001321076   .00027875      34.822      .43664   -.1279586 -.005916047  .000336398</t>
  </si>
  <si>
    <t xml:space="preserve">       0.046    12.20672  -0.8971847 0.029767582-0.000388563        0.11    45.08083 -12.3587105 1.615342865-0.085611804      -0.024    33.95052  -6.9757992 0.712210174 -0.03018253       0.003    29.82602  -5.4317853 0.500165334-0.019284376</t>
  </si>
  <si>
    <t xml:space="preserve">       0.594    -0.07689   0.0247586-0.001483591  2.9658E-05       0.691     2.41534  -1.4712063 0.342428229-0.023877608       2.017    -0.19306   0.1113874 0.000224735-0.000175194       1.934    -0.17902   0.1173315-0.000363451-0.000158712</t>
  </si>
  <si>
    <t>WPA43A01A</t>
  </si>
  <si>
    <t>CPS43A01A</t>
  </si>
  <si>
    <t>DPS43A01A</t>
  </si>
  <si>
    <t>curves\hd\4_3-hd80d-rubber</t>
  </si>
  <si>
    <t>D3147</t>
  </si>
  <si>
    <t xml:space="preserve">     800    1000    1200    1400    1600    1800     0.0     0.0</t>
  </si>
  <si>
    <t>47;535;0;60|462;7;0;40||617;504;0;12</t>
  </si>
  <si>
    <t>HD80_(5VC-R).png</t>
  </si>
  <si>
    <t>4/3-HDM80C-METAL</t>
  </si>
  <si>
    <t>CAM</t>
  </si>
  <si>
    <t>CCAM</t>
  </si>
  <si>
    <t>4/3-HDM80C-RUBBER</t>
  </si>
  <si>
    <t>4/3-HDM80C-RUBBER;4/3-HDM80C-RUBBER;4/3-HDM80C-RUBBER;4/3-HDM80C-RUBBER</t>
  </si>
  <si>
    <t>curves\hd\4/3-HDM80C-RUBBER</t>
  </si>
  <si>
    <t>HD80147D-RU</t>
  </si>
  <si>
    <t>4/3-HDP80DD-METAL</t>
  </si>
  <si>
    <t>6_AHF.png</t>
  </si>
  <si>
    <t>6/4-HD100E-METAL</t>
  </si>
  <si>
    <t>WPH64AH30</t>
  </si>
  <si>
    <t>6/4 AH-M</t>
  </si>
  <si>
    <t>80;80;78.2;76.4;74.2;70.2;64;56.3</t>
  </si>
  <si>
    <t>0;40;50;60;65;68;70;68</t>
  </si>
  <si>
    <t>0;26.5;48;61;74;95;119;147</t>
  </si>
  <si>
    <t>4.2;4.2;5;5.8;6.6;8.2;11.5;0</t>
  </si>
  <si>
    <t xml:space="preserve">      80.012      .46899   -.1941322   .00356026    3.13E-07</t>
  </si>
  <si>
    <t xml:space="preserve">       0.369    19.60469  -2.4358732 0.157721926-0.004183809</t>
  </si>
  <si>
    <t xml:space="preserve">       4.205    -0.44629   0.2167941-0.022860331  0.00101849</t>
  </si>
  <si>
    <t>HD100 (5)</t>
  </si>
  <si>
    <t>curves\hd\6_4-hdm100d-metal</t>
  </si>
  <si>
    <t>6/4 AH</t>
  </si>
  <si>
    <t>HD100147E-CR</t>
  </si>
  <si>
    <t>40;50;60;65;68;70;</t>
  </si>
  <si>
    <t>6/4-HD100E-RUBBER</t>
  </si>
  <si>
    <t>WPG64AH23</t>
  </si>
  <si>
    <t>6/4 AH-R</t>
  </si>
  <si>
    <t>44.5;44;43.4;42.15;41;38.9;36;33;29.6</t>
  </si>
  <si>
    <t>0;40;50;60;65;70;71;70;65</t>
  </si>
  <si>
    <t>0;20;30;44;55;72;90;106;123</t>
  </si>
  <si>
    <t>2.5;2.5;3;3.5;4;4.5;5.4;0;0</t>
  </si>
  <si>
    <t xml:space="preserve">      44.512     -.04802   -.1160807  .001929257 -1.6081E-05</t>
  </si>
  <si>
    <t xml:space="preserve">       0.173    26.58361   -4.141113 0.320500409 -0.01014392</t>
  </si>
  <si>
    <t xml:space="preserve">       2.497    -0.23304   0.0828334-0.006244475 0.000158867</t>
  </si>
  <si>
    <t>curves\hd\6/4-HD100E-RUBBER</t>
  </si>
  <si>
    <t>HD100147E-RU</t>
  </si>
  <si>
    <t>40;50;60;65;70;71;</t>
  </si>
  <si>
    <t>800;900;1000;1100;1200;1300;1400</t>
  </si>
  <si>
    <t>6_4-HD100E-RUBBER.png</t>
  </si>
  <si>
    <t>6/4-HDM100D-METAL</t>
  </si>
  <si>
    <t>6/4-HDM100D-METAL 6V</t>
  </si>
  <si>
    <t>WPH64AH50</t>
  </si>
  <si>
    <t>90;89.9;89.2;88;84.1;80;74;66</t>
  </si>
  <si>
    <t>0;40;50;60;70;75;77;75</t>
  </si>
  <si>
    <t>0;28.5;41.5;57.5;85;110;137.8;167</t>
  </si>
  <si>
    <t>4.8;4.8;5.5;6;7.9;9.8;12.8</t>
  </si>
  <si>
    <t xml:space="preserve">      89.981       .4607   -.1814074  .007268965 -.000191949</t>
  </si>
  <si>
    <t xml:space="preserve">       0.086    18.48662  -1.9114912 0.101912394-0.002255381</t>
  </si>
  <si>
    <t xml:space="preserve">       4.795    -0.28499   0.1350182-0.009740437 0.000326676</t>
  </si>
  <si>
    <t>HD100 (6)</t>
  </si>
  <si>
    <t>curves\hd\6_4-hdm100d-metal 6v</t>
  </si>
  <si>
    <t>E4058</t>
  </si>
  <si>
    <t>6/4-HDM100D-RUBBER</t>
  </si>
  <si>
    <t>curves\hd\6_4-hdm100d-rubber</t>
  </si>
  <si>
    <t>6/4-HDP100EE-METAL</t>
  </si>
  <si>
    <t>7/3-HDF80C-METAL</t>
  </si>
  <si>
    <t>7_3-HDF80C-METAL.png</t>
  </si>
  <si>
    <t>8_AHF.png</t>
  </si>
  <si>
    <t>8/6-HD150F-METAL</t>
  </si>
  <si>
    <t>WPG86AH30</t>
  </si>
  <si>
    <t>8/6 AH-M</t>
  </si>
  <si>
    <t>80;81.2;81.8;81.5;80;78;74.2;67.9;61</t>
  </si>
  <si>
    <t>0;20;40;50;60;65;70;72;70</t>
  </si>
  <si>
    <t>0;25;60;84;121;149;189;241;285</t>
  </si>
  <si>
    <t>2.5;2.5;3;4;5;6;8;11;14</t>
  </si>
  <si>
    <t xml:space="preserve">      79.973     1.66303   -.4040718   .01381522 -.000347348</t>
  </si>
  <si>
    <t xml:space="preserve">       -0.02     22.8975  -3.0541348 0.216199328 -0.00677447</t>
  </si>
  <si>
    <t xml:space="preserve">       2.453    -0.02606   0.1509381-0.009494092 0.000373736</t>
  </si>
  <si>
    <t>HD150 (5)</t>
  </si>
  <si>
    <t>curves\hd\8_6-hdm150e-metal</t>
  </si>
  <si>
    <t>8/6 AH</t>
  </si>
  <si>
    <t>HD150147F-CR</t>
  </si>
  <si>
    <t>20;40;50;60;65;70;72;</t>
  </si>
  <si>
    <t>500;700;900;1100;1300;1300</t>
  </si>
  <si>
    <t>8/6-HD150F-METAL 6V</t>
  </si>
  <si>
    <t>WPG86AH50</t>
  </si>
  <si>
    <t>90.6;89.8;88.8;87.1;83.5;73.4;56.5</t>
  </si>
  <si>
    <t>0;40;50;60;70;75;70</t>
  </si>
  <si>
    <t>0;58.6;86.7;124.5;175.1;262.7;350.2</t>
  </si>
  <si>
    <t>6.1;6.1;6.1;6.9;8.7;12.1;16.1</t>
  </si>
  <si>
    <t xml:space="preserve">      90.603     -.06477   -.1229745 -.000252825 -.000217398</t>
  </si>
  <si>
    <t xml:space="preserve">       0.155    22.35973  -2.8583333  0.19055181-0.005358171</t>
  </si>
  <si>
    <t xml:space="preserve">       6.129    -0.36327   0.1260415-0.003516407   -3.83E-07</t>
  </si>
  <si>
    <t>curves\hd\8/6-HD150F-METAL 6V</t>
  </si>
  <si>
    <t xml:space="preserve">     500     700     800     900    1000    1100    1200    1300</t>
  </si>
  <si>
    <t>37;535;0;400|475;35;0;90||641;519;0;20</t>
  </si>
  <si>
    <t>8_6-HD150F-METAL_6V.png</t>
  </si>
  <si>
    <t>8/6-HD150F-RUBBER</t>
  </si>
  <si>
    <t>WPG86AH32</t>
  </si>
  <si>
    <t>8/6 AH-R</t>
  </si>
  <si>
    <t>52;51.6;51;49.8;48.7;46.3;43;39.5;36</t>
  </si>
  <si>
    <t>0;42;68;95;115;152;191;230;262</t>
  </si>
  <si>
    <t>3.8;3.8;4;4.8;5.8;7.6;10;0;0</t>
  </si>
  <si>
    <t xml:space="preserve">      51.985      .16314   -.2204404  .007342208 -.000158059</t>
  </si>
  <si>
    <t xml:space="preserve">       0.315    30.55584  -5.5091744  0.50030611-0.018774047</t>
  </si>
  <si>
    <t xml:space="preserve">        3.81    -0.08121   0.0087653 0.001725902 -5.6298E-05</t>
  </si>
  <si>
    <t>curves\hd\8_6-hd150f-rubber</t>
  </si>
  <si>
    <t>HD150147F-RU</t>
  </si>
  <si>
    <t>400;500;600;700;800;900;1000</t>
  </si>
  <si>
    <t>8/6-HDM150E-METAL</t>
  </si>
  <si>
    <t>8/6-HDM150E-RUBBER</t>
  </si>
  <si>
    <t>52;51.6;51.4;49.8;48.5;46.2;42.5;39.5;36</t>
  </si>
  <si>
    <t>0;42;68;94;114;152;192;230;262</t>
  </si>
  <si>
    <t>3.4;3.8;3.91;4.5;5.6;6;9.01;13.7;16</t>
  </si>
  <si>
    <t xml:space="preserve">      51.954      .48438   -.3590579  .024287008 -.000786534</t>
  </si>
  <si>
    <t xml:space="preserve">       0.302    30.51778  -5.4600813 0.490668588-0.018265176</t>
  </si>
  <si>
    <t xml:space="preserve">        3.31     0.86627  -0.3838715 0.073193171-0.003171171</t>
  </si>
  <si>
    <t>curves\hd\8/6-HDM150E-RUBBER</t>
  </si>
  <si>
    <t xml:space="preserve"> 20.0 40.0 50.0 60.0 65.0 70.0 72.0  0.0</t>
  </si>
  <si>
    <t>8/6-HDP150FF-METAL</t>
  </si>
  <si>
    <t>5/2-HDF50C-METAL</t>
  </si>
  <si>
    <t>HDF</t>
  </si>
  <si>
    <t>HDF50145C-CR</t>
  </si>
  <si>
    <t>5_2-HDF50C-METAL.png</t>
  </si>
  <si>
    <t>4/3-HHD80E-METAL</t>
  </si>
  <si>
    <t>HHD</t>
  </si>
  <si>
    <t>WPG43HH30</t>
  </si>
  <si>
    <t>4/3 HH-M</t>
  </si>
  <si>
    <t>103.5;101.5;100.5;99.2;98.05;95;87</t>
  </si>
  <si>
    <t>0;30;40;50;55;60;62.5</t>
  </si>
  <si>
    <t>0;17.2;26;39;50;68.1;94</t>
  </si>
  <si>
    <t>3;2.55;2.65;3.75;5;7.5;11.75</t>
  </si>
  <si>
    <t xml:space="preserve">     103.509     -.68849    .0304403 -.001157875 -5.3098E-05</t>
  </si>
  <si>
    <t xml:space="preserve">      -0.011    11.26744  -0.8336096 0.030328654-0.000449934</t>
  </si>
  <si>
    <t xml:space="preserve">       3.011    -0.40592   0.0789074-0.002048446  1.6731E-05</t>
  </si>
  <si>
    <t>curves\hhd\4_3-hhd80e-metal</t>
  </si>
  <si>
    <t>4/3 HH</t>
  </si>
  <si>
    <t>HHD80147E-CR</t>
  </si>
  <si>
    <t xml:space="preserve"> 30.0 40.0 50.0 55.0 60.0 62.5  0.0  0.0</t>
  </si>
  <si>
    <t xml:space="preserve">     600     700     800    1000    1100    1200    1300    1400</t>
  </si>
  <si>
    <t>6/4-HHD100F-METAL</t>
  </si>
  <si>
    <t>WPG64HH30</t>
  </si>
  <si>
    <t>6/4 HH-M</t>
  </si>
  <si>
    <t>97.4;95.7;95;93.9;90.4;88;83.1;75.8;66</t>
  </si>
  <si>
    <t>0;30;40;50;60;63;64;63;60</t>
  </si>
  <si>
    <t>0;29.8;49.2;71.1;114.3;133.2;162;191.3;218.6</t>
  </si>
  <si>
    <t>2.6;2.6;2.7;3;4.4;5.3;6.8;9;11.2</t>
  </si>
  <si>
    <t xml:space="preserve">      97.356     -.56301    .0269569 -.002330735 -3.3048E-05</t>
  </si>
  <si>
    <t xml:space="preserve">        0.29    12.08155   -0.949759 0.038205239 -0.00065608</t>
  </si>
  <si>
    <t xml:space="preserve">        2.61    -0.06121    0.013787 0.000582915 -1.2005E-05</t>
  </si>
  <si>
    <t>curves\hhd\6_4-hhd100f-metal</t>
  </si>
  <si>
    <t>6/4F-HH</t>
  </si>
  <si>
    <t>HHD100147F-CR</t>
  </si>
  <si>
    <t xml:space="preserve">     600     700     800     900    1000       0     0.0     0.0</t>
  </si>
  <si>
    <t>46;529;0;240|512;197;0;110||620;541;0;12</t>
  </si>
  <si>
    <t>HHD100_(5VC-M).png</t>
  </si>
  <si>
    <t>8/6-HHD150G-METAL</t>
  </si>
  <si>
    <t>WPG86HH30</t>
  </si>
  <si>
    <t>8/6 HH-M</t>
  </si>
  <si>
    <t>97.4;96.2;96.2;95.8;95.4;94.2;92.7;87.5;81.1;76.7</t>
  </si>
  <si>
    <t>0;30;40;45;50;55;60;65;67;65</t>
  </si>
  <si>
    <t>0;69.2;109.7;135.6;159.5;200.1;247.1;325.5;383.6;417.7</t>
  </si>
  <si>
    <t>5.4;5.4;5.4;5.7;6;6.5;7.4;9.4;10.6;11.7</t>
  </si>
  <si>
    <t xml:space="preserve">      97.376     -.57723     .108036 -.011477444  .000157703</t>
  </si>
  <si>
    <t xml:space="preserve">       0.059    14.06276  -1.4419372 0.083999645-0.002042052</t>
  </si>
  <si>
    <t xml:space="preserve">       5.417    -0.11592   0.0257866 0.001306732 -6.6053E-05</t>
  </si>
  <si>
    <t>curves\hhd\8_6-hhd150g-metal</t>
  </si>
  <si>
    <t>8/6 HH</t>
  </si>
  <si>
    <t>HHD150147G-CR</t>
  </si>
  <si>
    <t xml:space="preserve"> 30.0 40.0 45.0 50.0 60.0 65.0  0.0  0.0</t>
  </si>
  <si>
    <t xml:space="preserve">     450     550     650     725       0       0     0.0     0.0</t>
  </si>
  <si>
    <t>43;531;0;450|510;197;0;125||620;542;0;12</t>
  </si>
  <si>
    <t>HHD150_(5VC-M).png</t>
  </si>
  <si>
    <t>12/10-MD250F-RUBBER</t>
  </si>
  <si>
    <t>L</t>
  </si>
  <si>
    <t>WPG250L32</t>
  </si>
  <si>
    <t>250 L-R;12/10-MD250F-RUBBER;250 L-R;250 L-R</t>
  </si>
  <si>
    <t xml:space="preserve">  500.00  600.00  700.00  900.00</t>
  </si>
  <si>
    <t xml:space="preserve">    13.9    19.9    26.8    44.5</t>
  </si>
  <si>
    <t xml:space="preserve">   263.6   320.2   367.7   453.5</t>
  </si>
  <si>
    <t>13.9;12.4;12.1;11.8;11.2;10.5;9.3;6.8|19.9;18.5;18.1;17.4;16.5;16;14.7;13.6;11.8;9.8|26.8;25.3;23.9;22.8;22.1;20.6;18.5;15.9;13.8|44.5;41.1;40.1;38.9;37.2;35.7;33.5;31;26.8;24.3</t>
  </si>
  <si>
    <t>0;30;40;50;60;65;69;65|0;30;40;50;60;65;70;70.98;70;65|0;30;50;60;65;70;71.6;70;65|0;30;40;50;60;65;70;71.6;70;65</t>
  </si>
  <si>
    <t>0;50.5;62.6;80.8;112.1;141.4;193.9;263.6|0;46.5;62.6;89.9;125.3;151.5;197;235.4;280.8;320.2|0;52.5;104;145.5;172.7;221.2;276.8;331.3;367.7|0;84.8;110.1;148.5;200;240.4;297;350.5;419.2;453.5</t>
  </si>
  <si>
    <t>1.8;2.1;2.1;2.5;2.8;3.1;4.3;5.9|4.2;4;3.7;3.8;4.3;4.5;5.2;5.9;7.1;8|3.1;3.1;4;4.3;4.7;5.7;6.9;8.6;10|5.4;5.4;5.4;5.4;5.9;6.6;8.3;10.5;14.2;16.7</t>
  </si>
  <si>
    <t xml:space="preserve">      13.895     -.93012    .1193556 -.012091375  .000292769      19.899     -.81695    .0422603 -.002087546 -8.1114E-05      26.808     -.79156    .0352791 -.002901847   4.904E-06      44.502    -1.15976    .0516658 -.002649077  -3.358E-06</t>
  </si>
  <si>
    <t xml:space="preserve">      -0.263      16.704   0.1860642-0.272519654 0.015209509      -0.163    20.52717  -2.2214662  0.11941576-0.003125123      -0.084     17.5551  -1.6323766 0.078473236-0.001912164      -0.245    10.84895  -0.4408817  0.00253326  -9.197E-06</t>
  </si>
  <si>
    <t xml:space="preserve">       1.791     0.14832  -0.0066707 0.006157153-0.000317667       4.214    -0.32512   0.0748872-0.002496913  3.4708E-05       3.064    -0.02604   0.0644565-0.004876937 0.000190433       5.412     0.05515  -0.0391118 0.005938649-0.000114088</t>
  </si>
  <si>
    <t>WPA300A21</t>
  </si>
  <si>
    <t>SL</t>
  </si>
  <si>
    <t>CSP300A21</t>
  </si>
  <si>
    <t>curves\Series A L Metal &amp; Rubber\300F L-5VCM</t>
  </si>
  <si>
    <t>250 L</t>
  </si>
  <si>
    <t>F10147</t>
  </si>
  <si>
    <t>Rubber;27% Chrome;Hyper Chrome;Acid Resist Chrome;Nitrile;Neoprene;Polyurethane;316 Stainless Steel;Ferralium</t>
  </si>
  <si>
    <t>Carbon Steel;316 Stainless Steel</t>
  </si>
  <si>
    <t>27% Chrome;Hyper Chrome;316 Stainless Steel;Ferralium;SAF2205 (Duplex SS);904 Stainless Steel;Cast Iron;316 Stainless Steel;Ferralium;904 Stainless Steel</t>
  </si>
  <si>
    <t xml:space="preserve"> 30.0 40.0 50.0 60.0 65.0 70.0  0.0  0.0</t>
  </si>
  <si>
    <t xml:space="preserve">     500     600     700     800     900       0       0       0</t>
  </si>
  <si>
    <t>43;539;0;500|492;16;0;50||628;534;4;20</t>
  </si>
  <si>
    <t>12/10-MD250F-RUBBER.png</t>
  </si>
  <si>
    <t>14/12-MD300F-METAL</t>
  </si>
  <si>
    <t>WPG 300L30</t>
  </si>
  <si>
    <t>14/12-MD300F-METAL;14/12-MD300F-METAL;14/12-MD300F-METAL</t>
  </si>
  <si>
    <t xml:space="preserve">  400.00  700.00  950.00</t>
  </si>
  <si>
    <t xml:space="preserve">    11.6    35.7    65.6</t>
  </si>
  <si>
    <t xml:space="preserve">   361.5   634.4   859.4</t>
  </si>
  <si>
    <t>11.6;11.4;11;10.3;9.7;8.6;6.9|35.7;35.1;33.8;32.3;30.7;28.8;26.5;23.3;21|65.6;64.5;62.2;59.4;56.2;53.4;48.7;42.9;38.4</t>
  </si>
  <si>
    <t>0;40;60;70;75;78;75|0;40;60;70;75;78;79;78;75|0;40;60;70;75;78;79;78;75</t>
  </si>
  <si>
    <t>0;57.2;105.1;156.8;208.4;269.3;361.5|0;99.6;186.3;256.4;317.2;385.5;461.1;558.8;634.4|0;136.5;252.7;350.4;442.6;516.4;632.6;761.7;859.4</t>
  </si>
  <si>
    <t>1.8;2.2;1.4;2.2;2.2;2.5;3.8|0;0;0;0;0;0;0;0;0|3.4;3.1;4.5;6.1;7.7;9.5;12.3;15.7;18.6</t>
  </si>
  <si>
    <t xml:space="preserve">      11.604     -.01304   -.0387044  .001741662 -3.8691E-05      35.702     -.01399   -.0364612  .000508245   1.965E-06      65.593      .00834   -.0405762  .000657872  -4.489E-06</t>
  </si>
  <si>
    <t xml:space="preserve">      -0.108    23.44112  -2.8514346 0.169031501-0.004086759        0.02    12.81806  -0.7936409 0.023257434-0.000287615      -0.009      9.4284  -0.4325921 0.009491554 -8.8421E-05</t>
  </si>
  <si>
    <t xml:space="preserve">       1.863     0.02372  -0.0105721 0.001627804 -2.5842E-05           0           0           0           0           0       3.376    -0.23782   0.0434304-0.001099561  1.1996E-05</t>
  </si>
  <si>
    <t xml:space="preserve"> 40.0 60.0 70.0 75.0 78.0  0.0  0.0  0.0</t>
  </si>
  <si>
    <t xml:space="preserve">     400     500     600     700     800     900     950       0</t>
  </si>
  <si>
    <t>48;536;0;900|456;9;0;70||608;497;0;20</t>
  </si>
  <si>
    <t>14_12-MD300F-METAL.png</t>
  </si>
  <si>
    <t>16/14-MD350F-METAL</t>
  </si>
  <si>
    <t>WPG 350L30</t>
  </si>
  <si>
    <t>16/14-MD350F-METAL;16/14-MD350F-METAL</t>
  </si>
  <si>
    <t xml:space="preserve">  400.00  840.00</t>
  </si>
  <si>
    <t xml:space="preserve">    13.9    61.1</t>
  </si>
  <si>
    <t xml:space="preserve">   424.7   889.1</t>
  </si>
  <si>
    <t>13.9;14.2;14.1;13.9;13.4;13.1;12;10.8;9.8|61.1;61.6;61.1;60.5;58.6;56.6;52.2;47.5;42.8</t>
  </si>
  <si>
    <t>0;40;50;60;70;75;80;81;80|0;40;50;60;70;75;80;81;80</t>
  </si>
  <si>
    <t>0;66.9;94.1;129.7;184.1;223.8;295;357.7;424.7|0;144.4;200.8;274.1;384.9;472.8;619.2;761.5;889.1</t>
  </si>
  <si>
    <t>2;2.1;2;2;2.1;2;2.1;2.7;3.2|7.7;7.5;7.7;7.7;8.2;8.8;10.5;12.7;15.4</t>
  </si>
  <si>
    <t xml:space="preserve">      13.919      .16083   -.0295277 -.000294696  3.7177E-05      61.103      .23075   -.0279146   .00011398   2.288E-06</t>
  </si>
  <si>
    <t xml:space="preserve">       0.099    19.27667  -1.9329351 0.097628702-0.002022883       0.049     8.94761  -0.4083705 0.009340326 -8.8778E-05</t>
  </si>
  <si>
    <t xml:space="preserve">       1.995     0.08295   -0.025226 0.002204329 -4.4544E-05       7.696    -0.04009   0.0017465 0.000226356  -2.049E-06</t>
  </si>
  <si>
    <t xml:space="preserve">     400     500     600     700     840       0       0       0</t>
  </si>
  <si>
    <t>49;527;0;1000|459;11;0;70||608;496;0;20</t>
  </si>
  <si>
    <t>16_14-MD350F-METAL.png</t>
  </si>
  <si>
    <t>10/8-MC200FF-RUBBER</t>
  </si>
  <si>
    <t>MCR</t>
  </si>
  <si>
    <t>200MCR</t>
  </si>
  <si>
    <t>71.4;72.8;72.2;70.2;67.6;63.4;58.7;56.9;56.3</t>
  </si>
  <si>
    <t>0;50;60;73;78;80.1;78;76;77</t>
  </si>
  <si>
    <t>0;357.9;479.6;723;916.3;1181;1450;1554;1579</t>
  </si>
  <si>
    <t>3.5;3.7;4;4.67;5.5;6.8;8;9.6;10</t>
  </si>
  <si>
    <t xml:space="preserve">        71.4     1.08685    -.219501   .00662341 -5.6866E-05</t>
  </si>
  <si>
    <t xml:space="preserve">       0.018    18.95254    -1.59937 0.058008454-0.000845106</t>
  </si>
  <si>
    <t xml:space="preserve">       3.519    -0.36552   0.1549936-0.014473717 0.000490249</t>
  </si>
  <si>
    <t xml:space="preserve"> 50.0 60.0 70.0 75.0 78.0  0.0  0.0  0.0</t>
  </si>
  <si>
    <t xml:space="preserve">     300     400     500     550     600     650     700     750</t>
  </si>
  <si>
    <t>14;461;0;1600|612;10;0;80||</t>
  </si>
  <si>
    <t>200MCR.png</t>
  </si>
  <si>
    <t>26/22-ESHR550</t>
  </si>
  <si>
    <t>P-4952/C REV 1</t>
  </si>
  <si>
    <t>550MCR</t>
  </si>
  <si>
    <t>71.1;70.8;69.8;68.9;67.4;65.8;63.7;60.2;56.2;53.2;49.8</t>
  </si>
  <si>
    <t>0;60;70;75;80;83;85;85.1;85;83;81</t>
  </si>
  <si>
    <t>0;2527;3370;3940;4728;5408;6169;7283;8342;9049;9837</t>
  </si>
  <si>
    <t>0;4.4;4.4;4.6;5.1;5.5;6.2;7.2;7.6;7.8;8.5</t>
  </si>
  <si>
    <t xml:space="preserve">      71.103      .16105   -.0194343  1.2346E-05       6E-07</t>
  </si>
  <si>
    <t xml:space="preserve">       0.014     8.75189  -0.3367689 0.006039774 -4.6031E-05</t>
  </si>
  <si>
    <t xml:space="preserve">      10.999    -1.36397   0.0920209-0.002320819  2.0858E-05</t>
  </si>
  <si>
    <t xml:space="preserve"> 60.0 70.0 75.0 80.0 83.0 85.0  0.0  0.0</t>
  </si>
  <si>
    <t xml:space="preserve">     200     250     300     350     400       0       0       0</t>
  </si>
  <si>
    <t>37;405;0;10000|582;41;0;80||</t>
  </si>
  <si>
    <t>550MCR.png</t>
  </si>
  <si>
    <t>30/26-ESH650</t>
  </si>
  <si>
    <t>T-4943/A REV 0</t>
  </si>
  <si>
    <t>650MCR</t>
  </si>
  <si>
    <t>59;57.7;56.3;55.2;53.7;52;50.1;46.8;42.7;40;38.3</t>
  </si>
  <si>
    <t>0;60;70;75;80;83;85;85.2;85;83;81</t>
  </si>
  <si>
    <t>0;3679;4821;5607;6643;7536;8536;10179;12036;13250;14000</t>
  </si>
  <si>
    <t>0;3;3.5;4;4.3;4.7;5.4;6.5;7.6;8;8.5</t>
  </si>
  <si>
    <t xml:space="preserve">      59.002       .3828    -.234243  .009005193 -.000126572</t>
  </si>
  <si>
    <t xml:space="preserve">      -0.016    23.83661  -2.4157026 0.110474804-0.002138552</t>
  </si>
  <si>
    <t xml:space="preserve">       0.756     0.94706  -0.1385375 0.015104624-0.000517843</t>
  </si>
  <si>
    <t>ESH650145-CR</t>
  </si>
  <si>
    <t xml:space="preserve">     150     175     200     225     250     275     300     325</t>
  </si>
  <si>
    <t>37;429;0;14000|577;37;0;60||</t>
  </si>
  <si>
    <t>650MCR.png</t>
  </si>
  <si>
    <t>36/30-MC750V-RUBBER</t>
  </si>
  <si>
    <t>750MCR</t>
  </si>
  <si>
    <t>62.6;60.9;59.6;57.8;55.2;52.5;50.9;48.5;45.8;43.7;40.4;39.1</t>
  </si>
  <si>
    <t>0;60;70;78;84;87;88;88.5;88;87;84;83</t>
  </si>
  <si>
    <t>0;6061;7935;9974;12288;14327;15539;17137;18790;20002;22096;22922</t>
  </si>
  <si>
    <t>3;3;3.5;3.98;4.5;5.4;5.8;7;7.5;8;8.5;9</t>
  </si>
  <si>
    <t xml:space="preserve">      62.603     -.01722   -.0367856 -.001499842   5.165E-05</t>
  </si>
  <si>
    <t xml:space="preserve">       0.013    14.20927  -0.8510297 0.024423218-0.000325817</t>
  </si>
  <si>
    <t xml:space="preserve">       2.993    -0.01237  -0.0053843 0.002142555 -6.0881E-05</t>
  </si>
  <si>
    <t xml:space="preserve"> 60.0 70.0 78.0 84.0 87.0  0.0  0.0  0.0</t>
  </si>
  <si>
    <t xml:space="preserve">     140     170     200     220     240     260     280     300</t>
  </si>
  <si>
    <t>16;408;0;21600|612;27;0;70||</t>
  </si>
  <si>
    <t>750MCR.png</t>
  </si>
  <si>
    <t>10/8-MD200F-METAL</t>
  </si>
  <si>
    <t>MD</t>
  </si>
  <si>
    <t>WPG200L30</t>
  </si>
  <si>
    <t>M</t>
  </si>
  <si>
    <t>200 M-M</t>
  </si>
  <si>
    <t>66.3;65;63.9;61;58.8;55.6;49.5;42.8;38.4</t>
  </si>
  <si>
    <t>0;40;50;60;65;70;73;70;65</t>
  </si>
  <si>
    <t>0;84;124;186;225;282;367;440;481</t>
  </si>
  <si>
    <t>3.8;3.8;3.8;3.8;4;4.6;6.1;7.5;8.4</t>
  </si>
  <si>
    <t xml:space="preserve">      66.294      .05807   -.1450848  .006950837 -.000181284</t>
  </si>
  <si>
    <t xml:space="preserve">       0.116    16.36771  -1.6604676 0.089189702-0.001976415</t>
  </si>
  <si>
    <t xml:space="preserve">       3.801     0.09922  -0.0441406 0.005142836-0.000128646</t>
  </si>
  <si>
    <t>MDL200 (5)</t>
  </si>
  <si>
    <t>curves\md\10_8-md200f-metal</t>
  </si>
  <si>
    <t>200 M</t>
  </si>
  <si>
    <t>MD200147F-C</t>
  </si>
  <si>
    <t>40;50;60;65;70;73;</t>
  </si>
  <si>
    <t>600;700;800;900;1000;1100</t>
  </si>
  <si>
    <t>10/8-MD200F-RUBBER</t>
  </si>
  <si>
    <t>WPG200L32</t>
  </si>
  <si>
    <t>200 M-R</t>
  </si>
  <si>
    <t>44.3;43.9;43.5;42.7;41.3;39.7;35.5;30.4</t>
  </si>
  <si>
    <t>0;40;50;60;70;75;79;75</t>
  </si>
  <si>
    <t>0;50;76;111;161;208;302;375</t>
  </si>
  <si>
    <t>4.74;4.74;5.2;6.5;9.9;14.3;0;0</t>
  </si>
  <si>
    <t xml:space="preserve">      44.295      .00989   -.1130196  .008109493 -.000315701</t>
  </si>
  <si>
    <t xml:space="preserve">       0.396    25.18664  -3.5428962 0.244919258-0.006572977</t>
  </si>
  <si>
    <t xml:space="preserve">       4.739    -0.04912    -4.9E-06 0.002280954 -5.3112E-05</t>
  </si>
  <si>
    <t>curves\md\10_8-md200f-rubber</t>
  </si>
  <si>
    <t>MD200147F-RU</t>
  </si>
  <si>
    <t>40;50;60;70;75;79;</t>
  </si>
  <si>
    <t>500;550;600;650;700;750;800;850;900</t>
  </si>
  <si>
    <t>12/10-MD250F-METAL</t>
  </si>
  <si>
    <t>WPG250L30</t>
  </si>
  <si>
    <t>250 L-M</t>
  </si>
  <si>
    <t>49.7;48.3;47.2;44.5;42.7;39.2;33.8;29.5;25</t>
  </si>
  <si>
    <t>0;40;50;60;65;70;73;70;64.8</t>
  </si>
  <si>
    <t>0;86;130;202;240;300;383;442;499</t>
  </si>
  <si>
    <t>6;6;6.3;7;7.6;10;11;13;0</t>
  </si>
  <si>
    <t xml:space="preserve">      49.686     -.20247    -.050385 -.000913507  4.2322E-05</t>
  </si>
  <si>
    <t xml:space="preserve">        0.21    15.88192  -1.5929911 0.084051799-0.001805516</t>
  </si>
  <si>
    <t xml:space="preserve">       6.032    -0.17404   0.0401055 0.000256277 -4.1314E-05</t>
  </si>
  <si>
    <t>MDL250 (5)</t>
  </si>
  <si>
    <t>curves\md\12_10-md250f-metal</t>
  </si>
  <si>
    <t>MD250147F-CR</t>
  </si>
  <si>
    <t>500;600;700;800;900;1000</t>
  </si>
  <si>
    <t>14/12-MD300F-RUBBER</t>
  </si>
  <si>
    <t>WPG300L32</t>
  </si>
  <si>
    <t>300 L-R</t>
  </si>
  <si>
    <t>43.4;43.2;42;40.5;39;32.6;25</t>
  </si>
  <si>
    <t>0;35;60;70;75;81;75</t>
  </si>
  <si>
    <t>0;80;182;250;307;495;662</t>
  </si>
  <si>
    <t>3.9;3.9;4;4.2;5;6;7.3</t>
  </si>
  <si>
    <t xml:space="preserve">      43.387      .09638   -.0472924  .001029322 -1.4009E-05</t>
  </si>
  <si>
    <t xml:space="preserve">       0.072    13.45023  -0.9094335 0.030522085-0.000427676</t>
  </si>
  <si>
    <t xml:space="preserve">        3.94    -0.11789   0.0244849 -0.00092865   1.332E-05</t>
  </si>
  <si>
    <t>MDL300 (5)</t>
  </si>
  <si>
    <t>curves\md\14_12-md300f-rubber</t>
  </si>
  <si>
    <t>300 L</t>
  </si>
  <si>
    <t>MD300147RSL-RU</t>
  </si>
  <si>
    <t>40;60;70;75;81;</t>
  </si>
  <si>
    <t>150 MP-M</t>
  </si>
  <si>
    <t>WPG150MP30</t>
  </si>
  <si>
    <t>MP</t>
  </si>
  <si>
    <t>MD150 (5VC-M);MD150 (5VC-M);MD150 (5VC-M);MD150 (5VC-M);MD150 (5VC-M);MD150 (5VC-M);MD150 (5VC-M);MD150 (5VC-M);MD150 (5VC-M)</t>
  </si>
  <si>
    <t xml:space="preserve">  500.00  600.00  700.00  800.00  900.00 1000.00 1100.00 1200.00 1300.00</t>
  </si>
  <si>
    <t xml:space="preserve">    11.9    17.1    23.2    30.4    38.4    47.2    56.8    67.4    78.2</t>
  </si>
  <si>
    <t xml:space="preserve">   134.7   155.7   169.1   184.3   202.1   220.6   241.5   263.1     284</t>
  </si>
  <si>
    <t>11.9;12.1;11.9;11.2;10.4;9.2;8.7|17.1;17.1;17.1;16.8;15.7;14.1;12.5|23.2;23.2;23.2;22.6;21.9;19.9;17.9|30.4;30.7;30.3;29.5;28.9;26.7;23.5|38.4;38.5;38.5;38;36.7;34.1;29.5|47.2;47.2;46.8;46;45.1;42.5;36.1|56.8;57.3;57;56.2;54.6;51.2;43.7|67.4;68.1;67.5;66.2;64.8;60.2;51.6|78.2;79.9;79.9;79.6;78.9;77.6;74.9;67.5;60.5</t>
  </si>
  <si>
    <t>0;40;50;60;65;72;70|0;40;45;55;65;72;70|0;40;50;60;65;72;70|0;40;50;60;65;72;70|0;40;45;55;65;72;70|0;40;50;60;65;72;70|0;40;45;55;65;71.5;70|0;40;50;60;65;72;70|0;40;45;50;55;60;67;72.5;70</t>
  </si>
  <si>
    <t>0;33.7;50.8;75;91.5;120.8;134.7|0;37.5;46.4;66.7;97.2;128.4;155.7|0;42.6;61;85.2;103.6;137.3;169.1|0;47;66.1;92.2;110;146.8;184.3|0;52.1;61;83.9;117.6;157.6;202.1|0;57.2;77.5;105.5;126.5;171;220.6|0;62.3;73.1;98.5;138.6;188.1;241.5|0;68;92.2;127.1;155.1;211.7;263.1|0;73;86;101;120;145;183.5;248;284</t>
  </si>
  <si>
    <t>0;0;0;0;0;0;0|0;0;0;0;0;0;0|0;0;0;0;0;0;0|0;0;0;0;0;0;0|0;0;0;0;0;0;0|0;0;0;0;0;0;0|0;0;0;0;0;0;0|0;0;0;0;0;0;0|3.8;3.8;4;4.5;5;5.6;6.8;11;13.9</t>
  </si>
  <si>
    <t xml:space="preserve">  10  10  10  10  10  10  10  25  25</t>
  </si>
  <si>
    <t xml:space="preserve">      11.897      .16705   -.0206468 -.003570934  .000213889      17.097      -3E-05    .0194113 -.005164612  .000173503      23.198     -.10029    .0551133 -.008015702  .000237251      30.403       .2671    -.053646  .002162566 -6.1947E-05      38.398      .12502   -.0150206  -.00068581   2.235E-06      47.198      .28016   -.0679531  .004146804  -.00012129      56.803      .48253   -.0911781  .004850347 -.000117297        67.4     1.34286   -.5519012  .066814828 -.003805784      78.189     1.75479   -.4838695   .04042261 -.002066382</t>
  </si>
  <si>
    <t xml:space="preserve">      -0.019    18.83797  -2.7314647  0.22525277-0.007245787           0    16.01533  -1.8677892 0.128693037-0.003612499      -0.009    13.60538  -1.2663149 0.073930316-0.001900732      -0.008     12.0541  -0.9522145 0.048539917-0.001149015      -0.014    10.48407  -0.6523637 0.026279891-0.000553459      -0.018     9.19738  -0.4436092 0.012774723-0.000228521      -0.013     8.31835  -0.3439152 0.007459194-0.000103909       -0.03    19.92679  -2.2465907 0.155249158-0.005851076       -0.03     19.6906   -2.550459 0.209973854-0.007943524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</si>
  <si>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3.783    -0.29365    0.134926-0.008346641 0.000500357</t>
  </si>
  <si>
    <t xml:space="preserve">    0.00    0.00    0.00    0.00    0.00    0.00    0.00    0.00    0.00</t>
  </si>
  <si>
    <t>MD150 (5)</t>
  </si>
  <si>
    <t>curves\md\md150 (5vc-m)</t>
  </si>
  <si>
    <t>150 MP</t>
  </si>
  <si>
    <t>F6147</t>
  </si>
  <si>
    <t>;</t>
  </si>
  <si>
    <t>E;F</t>
  </si>
  <si>
    <t>Drawings\MD150</t>
  </si>
  <si>
    <t xml:space="preserve"> 40.0 45.0 50.0 55.0 60.0 65.0 70.0 72.0</t>
  </si>
  <si>
    <t xml:space="preserve">       0       0       0       0       0       0       0     0.0</t>
  </si>
  <si>
    <t>53;527;0;400|516;215;0;100||637;544;0;16</t>
  </si>
  <si>
    <t>MD150_(5VC-M).png</t>
  </si>
  <si>
    <t>16/14-MD350F-RUBBER</t>
  </si>
  <si>
    <t>WPG350L32</t>
  </si>
  <si>
    <t>45;45;45;44.4;43.5;41.6;39.4;35.1;31.7</t>
  </si>
  <si>
    <t>0;20;40;60;70;80;85;86.5;85</t>
  </si>
  <si>
    <t>0;54;122.4;225;307.8;444.6;565.2;730.8;837</t>
  </si>
  <si>
    <t>2.4;2.4;2.4;2.9;3.4;4.4;5.7;8.1;9.7</t>
  </si>
  <si>
    <t xml:space="preserve">      44.977      .08091   -.0188768  .000294039  -4.673E-06</t>
  </si>
  <si>
    <t xml:space="preserve">      -0.004    10.38601  -0.5221209 0.013232064-0.000138588</t>
  </si>
  <si>
    <t xml:space="preserve">       2.378    -0.00901   0.0066474   3.864E-05   -9.96E-07</t>
  </si>
  <si>
    <t>curves\md\16/14-MD350F-RUBBER</t>
  </si>
  <si>
    <t>MD350147SL-RU</t>
  </si>
  <si>
    <t xml:space="preserve"> 20.0 40.0 60.0 70.0 80.0 85.0  0.0  0.0</t>
  </si>
  <si>
    <t xml:space="preserve">     400     500     600     700       0       0       0       0</t>
  </si>
  <si>
    <t>41;541;0;900|488;18;0;50||626;532;2;10</t>
  </si>
  <si>
    <t>16/14-MD350F-RUBBER.png</t>
  </si>
  <si>
    <t>MDP125</t>
  </si>
  <si>
    <t>MDP</t>
  </si>
  <si>
    <t>Curo Pumps</t>
  </si>
  <si>
    <t>MDP125;MDP125;MDP125;MDP125;MDP125</t>
  </si>
  <si>
    <t xml:space="preserve"> 1000.00 1400.00 1800.00 2200.00 2400.00</t>
  </si>
  <si>
    <t xml:space="preserve">    29.9      59    96.6   144.2   172.4</t>
  </si>
  <si>
    <t xml:space="preserve">   253.1     351   450.6   551.8   604.1</t>
  </si>
  <si>
    <t>29.9;30.6;29.9;26.5;20.4|59;60.5;60.2;56.5;54.1;50.3;40.5|96.6;100.3;100;97.3;88.8;74.1;67|144.2;149.3;149.3;147.3;143.2;133;117;99.7|172.4;177.9;178.2;175.9;172.1;167;162.9;158.2;152.4;146.3;134;118.7</t>
  </si>
  <si>
    <t>0;50;65;70;66|0;50;65;75;77;75;65|0;50;65;75;79;75;73|0;50;65;75;80;83.55;80;73|0;50;65;75;80;83;84;84.42;84;83;80;73</t>
  </si>
  <si>
    <t>0;63.7;115.9;191;253.1|0;75.1;133.9;213.9;246.5;280.8;351|0;86.5;151.8;222;315.1;413.1;450.6|0;99.6;169.8;241.6;295.5;383.7;475.1;551.8|0;111;181.2;251.4;305.3;354.3;386.9;421.2;458.8;488.2;542;604.1</t>
  </si>
  <si>
    <t>0;0;0;0;0|0;0;0;0;0;0;0|0;0;0;0;0;0;0|0;0;0;0;0;0;0;0|0;0;0;0;0;0;0;0;0;0;0;0</t>
  </si>
  <si>
    <t xml:space="preserve">  25  25  25  25  25</t>
  </si>
  <si>
    <t xml:space="preserve">        29.9       .6423   -.1604945  .008369634 -.000784132          59      .72305   -.0438501 -.010673969  .000245223      96.614      1.6327   -.1669066 -.001218655  2.1715E-05     144.227     1.79451   -.1300435 -.003015197  4.8972E-05     172.406     1.88926   -.1407895 -.001401282   7.231E-06</t>
  </si>
  <si>
    <t xml:space="preserve">           0    30.22539  -5.1423726 0.421661555-0.014323732       0.083    24.80945  -3.4586512 0.248103607-0.007422102       0.189    20.10698  -2.0603538 0.101765433-0.002052808       0.233    17.19286  -1.4915059  0.06511832-0.001182377       0.163    15.33741  -1.1491277  0.04395596-0.000725066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</si>
  <si>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</t>
  </si>
  <si>
    <t xml:space="preserve"> 50.0 65.0 75.0 80.0 83.0 84.0  0.0  0.0</t>
  </si>
  <si>
    <t xml:space="preserve">    1000    1200    1400    1600    1800    2000    2200    2400</t>
  </si>
  <si>
    <t>44;534;0;800|616;28;0;200||</t>
  </si>
  <si>
    <t>MDP125.png</t>
  </si>
  <si>
    <t>MDP150</t>
  </si>
  <si>
    <t>211.1;220.6;222.2;216.1;208.9;202.2;183.2;167.6;161;149.3</t>
  </si>
  <si>
    <t>0;56;65;74;78;80;81.3;80;79;77</t>
  </si>
  <si>
    <t>0;282.8;462.3;656.6;769.7;850.8;1006;1109;1146;1207</t>
  </si>
  <si>
    <t>0;0;0;0;0;0;0;0;0;0</t>
  </si>
  <si>
    <t xml:space="preserve">     211.079     4.35052    -.136739 -.071410991  .001474928</t>
  </si>
  <si>
    <t xml:space="preserve">       0.186    32.09138  -5.9089729 0.539727734-0.018826787</t>
  </si>
  <si>
    <t xml:space="preserve"> 56.0 65.0 71.0 74.0 76.0 78.0 79.0 80.0</t>
  </si>
  <si>
    <t xml:space="preserve">    1000    1400    1600    1800    2000    2300    2600       0</t>
  </si>
  <si>
    <t>21;509;0;1200|432;37;0;220||</t>
  </si>
  <si>
    <t>MDP150.png</t>
  </si>
  <si>
    <t>MDP150C</t>
  </si>
  <si>
    <t>VERTICAL</t>
  </si>
  <si>
    <t>211.8;210.8;209.9;207.1;203.3;199.5;191.1;177.4;164.2;157.2;150.6</t>
  </si>
  <si>
    <t>0;47;58;67;73;76;79;80.1;79;78;75</t>
  </si>
  <si>
    <t>0;140.6;223.8;308.4;383;431.8;504.9;595.3;659.8;687.1;714.3</t>
  </si>
  <si>
    <t>0;0;0;0;0;0;0;0;0;0;0</t>
  </si>
  <si>
    <t xml:space="preserve">     211.798     -.28876    .0446709 -.004341655  1.7651E-05</t>
  </si>
  <si>
    <t xml:space="preserve">       0.181    11.97311  -0.8461201 0.031542593-0.000468586</t>
  </si>
  <si>
    <t xml:space="preserve"> 40.0 50.0 55.0 60.0 65.0 70.0 75.0 79.0</t>
  </si>
  <si>
    <t xml:space="preserve">    1000    1200    1400    1600    1800    2000    2100       0</t>
  </si>
  <si>
    <t>22;510;0;700|431;59;25;200||</t>
  </si>
  <si>
    <t>MDP150C.png</t>
  </si>
  <si>
    <t>10/8 P-M</t>
  </si>
  <si>
    <t>WPG108P30</t>
  </si>
  <si>
    <t>10/8 P-M;10/8 P-M;10/8 P-M;10/8 P-M</t>
  </si>
  <si>
    <t xml:space="preserve">  600.00  800.00 1000.00 1100.00</t>
  </si>
  <si>
    <t xml:space="preserve">    20.5      36      55    66.5</t>
  </si>
  <si>
    <t xml:space="preserve">     255     306     366     405</t>
  </si>
  <si>
    <t>20.5;19.5;18;15.8;12|36;35.5;33.5;31;27.5;23.5|55;54.5;51;47;42;37.5|66.5;65.5;62;56;51;45.5</t>
  </si>
  <si>
    <t>0;50;68;73.5;69.5|0;30;57.5;70;73.5;70|0;30;60;70;73.5;70|0;40;60;70;74;69.5</t>
  </si>
  <si>
    <t>0;60;120;180;255|0;36;105;171;243;306|0;45;150;231;306;366|0;75;168;270;336;405</t>
  </si>
  <si>
    <t>4;4;6;9;11.5|4;4;6;9;11.5;14|0;0;0;0;0;0|4;4;6;9;11.5;14</t>
  </si>
  <si>
    <t xml:space="preserve">        20.5     -.35566   -.0142895 -.005082206  .000185482      36.008     -.20498   -.1260074  .009899462 -.000413314      55.018     -.13427   -.1039716  .003247554  -7.561E-05      66.506     -.07279   -.0908638  6.6147E-05  5.4136E-05</t>
  </si>
  <si>
    <t xml:space="preserve">           0    31.68873  -5.6013412 0.492110906-0.017848092       0.219    25.07974  -3.7171502 0.285191041-0.009059751       0.084    20.94232  -2.7989973 0.197059471-0.005554811      -0.019    19.48605    -2.50656  0.16859146-0.004429429</t>
  </si>
  <si>
    <t xml:space="preserve">           4    -0.48265   0.2047284 0.000600089-0.000878918       4.028    -0.55102   0.3879466-0.038675798 0.001314685           0           0           0           0           0       3.989    -0.29483   0.1205219-0.005801395  0.00011381</t>
  </si>
  <si>
    <t>WPA108B03</t>
  </si>
  <si>
    <t>curves\mp\10_8 p-m</t>
  </si>
  <si>
    <t>10/8 P</t>
  </si>
  <si>
    <t>F8147</t>
  </si>
  <si>
    <t xml:space="preserve"> 30.0 40.0 50.0 60.0 65.0 70.0 73.0  0.0</t>
  </si>
  <si>
    <t xml:space="preserve">     600     700     800     900    1000    1100     0.0     0.0</t>
  </si>
  <si>
    <t>42;540;0;450|473;5;0;70||635;518;0;16</t>
  </si>
  <si>
    <t>MD200_(5VC-M)_NA.png</t>
  </si>
  <si>
    <t>100 MP-M</t>
  </si>
  <si>
    <t>WPG100MP30</t>
  </si>
  <si>
    <t>1.3;1.3;2;3.1;4.1;5.9;9.5;14</t>
  </si>
  <si>
    <t xml:space="preserve">        1.29     -0.2018   0.0819364 -0.00083933  1.4171E-05</t>
  </si>
  <si>
    <t>MD100 (5)</t>
  </si>
  <si>
    <t>curves\mp\100 mp-m</t>
  </si>
  <si>
    <t>100 MP</t>
  </si>
  <si>
    <t>E4147</t>
  </si>
  <si>
    <t>12/10 P-M</t>
  </si>
  <si>
    <t>WPG1210P30</t>
  </si>
  <si>
    <t>12/10 P-M;12/10 P-M;12/10 P-M</t>
  </si>
  <si>
    <t xml:space="preserve">  500.00  800.00 1000.00</t>
  </si>
  <si>
    <t xml:space="preserve">    11.9    31.5      50</t>
  </si>
  <si>
    <t xml:space="preserve">   223.2   337.5   420.7</t>
  </si>
  <si>
    <t>11.9;11.5;11.4;11;10.5;10;8.7;7.7|31.5;30.5;29.9;28.8;27.4;25.8;24;22.7;20.4|50;48.5;47.3;45.6;43.3;40.9;38.5;35.3;32.1</t>
  </si>
  <si>
    <t>0;40;50;60;70;75;76.85;75.75|0;40;50;60;70;75;78;78.5;78|0;40;50;60;70;75;78;78.8;77.95</t>
  </si>
  <si>
    <t>0;48.5;65.9;92.4;125.3;158.2;195.7;223.2|0;86;117.1;158.2;200.3;242.4;278;304.6;337.5|0;85.1;124.4;176.5;236.9;286.3;330.2;380.5;420.7</t>
  </si>
  <si>
    <t>1.7;1.6;1.8;1.9;2.1;2.3;2.5;2.7|0;0;0;0;0;0;0;0;0|3.7;3.7;3.9;4.2;5.2;6.1;7.2;8.8;10.1</t>
  </si>
  <si>
    <t xml:space="preserve">      11.903      -.0741   -.0008627 -7.9125E-05  -5.095E-06      31.496     -.03852   -.0854233   .00525145 -.000237865      50.005     -.24326   -.0741188  .003929902 -.000143915</t>
  </si>
  <si>
    <t xml:space="preserve">       0.015    10.78145  -0.6024616 0.018237924-0.000272476       0.032    14.60857  -1.0356824 0.047951489-0.001463205       0.114    15.82247  -1.5335174 0.087179456-0.002118515</t>
  </si>
  <si>
    <t xml:space="preserve">       1.696     -0.0822   0.0198622-0.001118832  2.1711E-05           0           0           0           0           0         3.7    -0.02691    0.001359 0.002423863 -6.3219E-05</t>
  </si>
  <si>
    <t>RTP009B</t>
  </si>
  <si>
    <t>curves\mp\12_10 p-m</t>
  </si>
  <si>
    <t>12/10 P</t>
  </si>
  <si>
    <t xml:space="preserve">     500     600     700     800     900    1000       0     0.0</t>
  </si>
  <si>
    <t xml:space="preserve"> 40.0 50.0 60.0 70.0 75.0 78.0  0.0  0.0</t>
  </si>
  <si>
    <t>49;541;0;450|475;7;0;60||637;521;0;12</t>
  </si>
  <si>
    <t>MD250_(5VC-M).png</t>
  </si>
  <si>
    <t>2/1.5 P-M</t>
  </si>
  <si>
    <t>WPG215P31</t>
  </si>
  <si>
    <t>2/1.5 P-M;2/1.5 P-M;2/1.5 P-M;2/1.5 P-M;2/1.5 P-M;2/1.5 P-M</t>
  </si>
  <si>
    <t xml:space="preserve">    0.00    0.00    0.00    0.00    0.00    0.00    0.00    0.00</t>
  </si>
  <si>
    <t xml:space="preserve">  600.00  800.00 1200.00 1600.00 2000.00 2400.00</t>
  </si>
  <si>
    <t xml:space="preserve">     2.7     4.2     8.8    15.6    24.2    34.6</t>
  </si>
  <si>
    <t xml:space="preserve">     4.9     5.6     7.9    10.3    13.8    16.5</t>
  </si>
  <si>
    <t>2.7;2.3;2.1;1.9;1.5|4.2;3.6;3.1;2.9;2.3|8.8;8.5;8.1;7;5.6|15.6;15.2;15;14.2;12.6;9.6|24.2;23.8;23.4;22.6;21.6;19.4;16.8;14.6|34.6;34.4;34;32.6;31;28.4;25;22.1</t>
  </si>
  <si>
    <t>0;20;27;30;27|0;20;30;32;30|0;20;30;35;30|0;20;30;40;43;39.5|0;20;30;39.5;45;47;45;39.5|0;20;30;40;45;49;45;39.5</t>
  </si>
  <si>
    <t>0;2.3;3.3;3.9;4.9|0;2.1;3.7;4.4;5.6|0;1.8;3.3;6;7.9|0;1.8;3.1;5.3;7.7;10.3|0;2;3.2;4.9;6.6;9.4;12.1;13.8|0;2.1;3.6;6;8.3;11.1;14.2;16.5</t>
  </si>
  <si>
    <t>0;0;0;0;0|0;0;0;0;0|0;0;0;0;0|0;0;0;0;0;0|0;0;0;0;0;0;0;0|0;0;0;0;0;0;0;0</t>
  </si>
  <si>
    <t xml:space="preserve">         2.7     -.21076    .0379722 -.009185148       4.201     -.34773    .0428548 -.007361516       8.805     -.17127    .0026167  -.00408044      15.586     -.19384    .0128857 -.004906228      24.218     -.14651   -.0356423 -.000291261      34.622      .01788   -.0625686   .00094343</t>
  </si>
  <si>
    <t xml:space="preserve">        0.01     5.19227    2.756035-0.548716934       0.004     9.99356    0.127932-0.170621721       0.004    13.68231  -1.4894007  0.03014326        0.02    13.17266  -1.2231813 0.030730856      -0.092    12.00583  -0.8980211 0.017220453       0.589     10.1965  -0.6561728 0.011044991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</si>
  <si>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</t>
  </si>
  <si>
    <t>WPA151 BO1</t>
  </si>
  <si>
    <t>CSP151B01</t>
  </si>
  <si>
    <t>curves\mp\2_1.5 p-m</t>
  </si>
  <si>
    <t>2/1.5 P</t>
  </si>
  <si>
    <t>B15127</t>
  </si>
  <si>
    <t>BB</t>
  </si>
  <si>
    <t xml:space="preserve">     0.0     0.0     0.0     0.0     0.0     0.0     0.0     0.0</t>
  </si>
  <si>
    <t xml:space="preserve"> 20.0 30.0 40.0 45.0  0.0  0.0  0.0  0.0</t>
  </si>
  <si>
    <t xml:space="preserve">     600     800    1200    1600    1800    2000    2200    2400</t>
  </si>
  <si>
    <t>52;541;0;18|601;5;0;40||</t>
  </si>
  <si>
    <t>MD32_(5VO-M)_NA.png</t>
  </si>
  <si>
    <t>50 MP-M</t>
  </si>
  <si>
    <t>WPG50MP10</t>
  </si>
  <si>
    <t>50 MP-M;50 MP-M;50 MP-M;50 MP-M;50 MP-M;50 MP-M;50 MP-M</t>
  </si>
  <si>
    <t xml:space="preserve"> 1500.00 1700.00 1900.00 2100.00 2300.00 2500.00 2700.00</t>
  </si>
  <si>
    <t>18;17;16.4;15.2;13.5;12|22.9;21.9;21.4;20.2;18;15.3|28.7;27.4;26.8;25.9;24.2;23;20.6;18.8|34.8;33.6;33.1;32;30.7;29.8;28.3;26;24.5;22.8|41.6;40.5;39.7;38.6;37.3;36.7;35.2;33.8;32.1;30.2;28.8;26.9|49;47.8;47.1;45.9;44.5;43.7;42.4;39.3;36.4;34.4;32.9;31.3|57.1;55.8;55.1;53.8;52;50.6;48.6;44;39.9;37;35.1</t>
  </si>
  <si>
    <t>0;30;35;40;41;40|0;30;35;40;40.98;40|0;30;35;40;43;43.85;43;42|0;30;35;40;43;44;44.5;44;43;42|0;30;35;40;43;44;45;45.3;45;44;43;42|0;30;35;40;43;44;45;45.5;45;44;43;42|0;30;35;40;43;44;45;46;45;44;43</t>
  </si>
  <si>
    <t>0;4;5.4;7.5;9.6;11|0;4.3;5.7;7.6;10.2;12.7|0;4.6;6;7.9;9.8;11.2;13.1;14.4|0;4.9;6.3;8.2;9.9;10.8;12.3;14.2;15.1;16.2|0;5.2;6.6;8.5;10.2;11.1;12.4;13.7;15;16.2;17;18.1|0;5.4;6.9;9;10.8;11.7;13;15.5;17.3;18.4;19.3;20|0;5.3;7.05;9.5;11.8;13;14.6;17.7;20.08;21.3;22.08</t>
  </si>
  <si>
    <t>0;0;0;0;0;0|0;0;0;0;0;0|0;0;0;0;0;0;0;0|0;0;0;0;0;0;0;0;0;0|0;0;0;0;0;0;0;0;0;0;0;0|0;0;0;0;0;0;0;0;0;0;0;0|3.4;3.4;3.6;3.7;4;4.2;4.4;4.87;5.4;5.8;6</t>
  </si>
  <si>
    <t xml:space="preserve">      87.964      .60926   -.1094729  -.05245106  .003291833</t>
  </si>
  <si>
    <t xml:space="preserve">       0.014    27.00471  -4.9722201 0.482711453-0.019915966</t>
  </si>
  <si>
    <t xml:space="preserve">       3.753    -0.80484   0.6291815-0.051594325 0.001981125</t>
  </si>
  <si>
    <t xml:space="preserve">    0.00    0.00    0.00    0.00    0.00    0.00    0.00</t>
  </si>
  <si>
    <t>MD50 (2)</t>
  </si>
  <si>
    <t>curves\mp\50 mp-m</t>
  </si>
  <si>
    <t>50 MP</t>
  </si>
  <si>
    <t>C2021</t>
  </si>
  <si>
    <t>30;35;40;43;44;45;46;</t>
  </si>
  <si>
    <t>1500;1700;1900;2100;2300;2500;2700</t>
  </si>
  <si>
    <t>50;534;0;25|564;14;0;60||</t>
  </si>
  <si>
    <t>MD50_(2VO-M).png</t>
  </si>
  <si>
    <t>WPG50MP30</t>
  </si>
  <si>
    <t>88;88.4;88.2;87.4;86;82.4;79.8;74.2;69;66</t>
  </si>
  <si>
    <t>0;7.2;11;16.5;20.8;27.1;31;38;44.1;47</t>
  </si>
  <si>
    <t>3.75;3.75;4.5;6.5;8;11.25;13.75;18;22;24.5</t>
  </si>
  <si>
    <t>MD50 (5)</t>
  </si>
  <si>
    <t>75 MP-M</t>
  </si>
  <si>
    <t>WPG75MP30</t>
  </si>
  <si>
    <t>3.7;3.7;3.8;4;5.6;7.5;11.6;14.5</t>
  </si>
  <si>
    <t xml:space="preserve">       3.732    -0.17966   0.0547034 0.001573154-0.000115115</t>
  </si>
  <si>
    <t>MD80 (5)</t>
  </si>
  <si>
    <t>curves\mp\75 mp-m</t>
  </si>
  <si>
    <t>75 MP</t>
  </si>
  <si>
    <t>30;40;50;60;65;68;</t>
  </si>
  <si>
    <t>1000;1300;1600;1900;2200;2500;2800</t>
  </si>
  <si>
    <t>24/16-DN600H-METAL</t>
  </si>
  <si>
    <t xml:space="preserve">MST </t>
  </si>
  <si>
    <t>DN600147H-METAL</t>
  </si>
  <si>
    <t>24/16-MST600H-CR35</t>
  </si>
  <si>
    <t>79.9;79;78.4;77.2;76.2;74.5;72;69.7;68.2;67</t>
  </si>
  <si>
    <t>0;40;57;72;78;82;84.5;84;82.5;81.5</t>
  </si>
  <si>
    <t>0;1927;2922;4299;5188;6395;7581;8471;9021;9424</t>
  </si>
  <si>
    <t>1.5;3.1;3.8;4.7;4.8;5;6;0;0;0</t>
  </si>
  <si>
    <t xml:space="preserve">      79.907     -.12753    .0031162 -.000301301   1.768E-06</t>
  </si>
  <si>
    <t xml:space="preserve">      -0.126     6.23271  -0.1179688-0.000421727  1.8396E-05</t>
  </si>
  <si>
    <t xml:space="preserve">       1.506      0.0751   0.0284346 -0.00186441  3.3171E-05</t>
  </si>
  <si>
    <t>MST600147H-CR35</t>
  </si>
  <si>
    <t>HD005H</t>
  </si>
  <si>
    <t xml:space="preserve"> 40.0 50.0 60.0 70.0 75.0 80.0 82.0  0.0</t>
  </si>
  <si>
    <t xml:space="preserve">     150     275     325     375     425     475       0       0</t>
  </si>
  <si>
    <t>52;477;0;9000|571;30;0;90||</t>
  </si>
  <si>
    <t>24_16-MST600H-CR35.png</t>
  </si>
  <si>
    <t>20/18-DN500H-METAL</t>
  </si>
  <si>
    <t>MST-DN</t>
  </si>
  <si>
    <t>20/18-MST-DN500GG-M</t>
  </si>
  <si>
    <t>77.6;78;77.8;77.2;76.4;74.3;71.5;68.6;64.8;60.8;59</t>
  </si>
  <si>
    <t>0;31;50;60;70;78;81;81.5;81;80;77</t>
  </si>
  <si>
    <t>0;864;1693;2134;2786;3879;4814;5678;6665;7617;8005</t>
  </si>
  <si>
    <t xml:space="preserve">      77.608      .20903   -.0288498  1.9364E-05   3.519E-06</t>
  </si>
  <si>
    <t xml:space="preserve">      -0.062    10.43185  -0.4781402 0.009548711 -7.5527E-05</t>
  </si>
  <si>
    <t>MST500147H-CR47</t>
  </si>
  <si>
    <t xml:space="preserve">HDM005H </t>
  </si>
  <si>
    <t xml:space="preserve"> 50.0 60.0 70.0 78.0 81.0  0.0  0.0  0.0</t>
  </si>
  <si>
    <t xml:space="preserve">     150     200     250     300     350     400     450     500</t>
  </si>
  <si>
    <t>58;455;0;7000|585;156;0;90||</t>
  </si>
  <si>
    <t>20_18-MST-DN500H-M.png</t>
  </si>
  <si>
    <t>20/18-MST-DN500H-M</t>
  </si>
  <si>
    <t>10 TC</t>
  </si>
  <si>
    <t>TC</t>
  </si>
  <si>
    <t>WPG1010TC72</t>
  </si>
  <si>
    <t>39;35.3;34.5;33.6;31;28.3;25.3;22.25</t>
  </si>
  <si>
    <t>0;37;40;41;43.5;42;40;37</t>
  </si>
  <si>
    <t>0;102;124;148;209;264;332;406</t>
  </si>
  <si>
    <t xml:space="preserve">      38.995     -.90022    .0152132 -.004082256  .000163301</t>
  </si>
  <si>
    <t xml:space="preserve">       0.024    15.44822  -1.9846388 0.108953476-0.002259404</t>
  </si>
  <si>
    <t>CT250 (8)</t>
  </si>
  <si>
    <t>curves\tc\10 tc</t>
  </si>
  <si>
    <t>TC4191</t>
  </si>
  <si>
    <t>37;40;41;43.5;</t>
  </si>
  <si>
    <t>2 TC</t>
  </si>
  <si>
    <t>WPG22TC72</t>
  </si>
  <si>
    <t>23.3;22.7;21.95;21.28;19.65;18;16.2</t>
  </si>
  <si>
    <t>0;20;30;35;40;41;40</t>
  </si>
  <si>
    <t>0;3.4;6.15;8.2;12;15;17.45</t>
  </si>
  <si>
    <t xml:space="preserve">      23.299     -.10735   -.0231579   .00107814 -4.2056E-05</t>
  </si>
  <si>
    <t xml:space="preserve">       0.003     7.42258  -0.5131885 0.018343963-0.000331459</t>
  </si>
  <si>
    <t>CT50 (8)</t>
  </si>
  <si>
    <t>curves\tc\2 tc</t>
  </si>
  <si>
    <t>TC2191</t>
  </si>
  <si>
    <t>20;30;35;40;41;</t>
  </si>
  <si>
    <t>3 TC</t>
  </si>
  <si>
    <t>WPG33TC72</t>
  </si>
  <si>
    <t>38.9;38.2;37.65;37.3;36.9;36.5;35.8;34.7;33.5;31.7;29</t>
  </si>
  <si>
    <t>0;10;15;20;25;30;35;39;41;41.5;41</t>
  </si>
  <si>
    <t>0;4;6.4;8.95;12;15.5;20.4;26.2;31.5;38;45.5</t>
  </si>
  <si>
    <t xml:space="preserve">       38.92    -1.16413    .2124779 -.033824063  .001250365</t>
  </si>
  <si>
    <t xml:space="preserve">       0.028    13.35426  -1.2778563 0.021646702 0.001303986</t>
  </si>
  <si>
    <t>CT80 (8)</t>
  </si>
  <si>
    <t>curves\tc\3 tc</t>
  </si>
  <si>
    <t>TC3191</t>
  </si>
  <si>
    <t>10;15;20;25;30;35;39;</t>
  </si>
  <si>
    <t>4 TC</t>
  </si>
  <si>
    <t>CT100 (8)</t>
  </si>
  <si>
    <t>curves\tc\4 tc</t>
  </si>
  <si>
    <t xml:space="preserve"> </t>
  </si>
  <si>
    <t xml:space="preserve"> 10.0 15.0 20.0 25.0 30.0 35.0 39.0 41.0</t>
  </si>
  <si>
    <t xml:space="preserve">     700     900    1100    1300    1500    1500     0.0     0.0</t>
  </si>
  <si>
    <t>6 TC</t>
  </si>
  <si>
    <t>WPG66TC72</t>
  </si>
  <si>
    <t>39.8;39.3;38.9;37.45;36;34;32;28.85</t>
  </si>
  <si>
    <t>0;20;30;40;45;50;53;45</t>
  </si>
  <si>
    <t>0;14.4;24.7;41;54;69.4;84.5;107.2</t>
  </si>
  <si>
    <t xml:space="preserve">      39.777     -.08029   -.1326492  .002587678  .000151201</t>
  </si>
  <si>
    <t xml:space="preserve">      -0.115    18.28004   -3.276325 0.353663416-0.015899782</t>
  </si>
  <si>
    <t>CT150 (8)</t>
  </si>
  <si>
    <t>curves\tc\6 tc</t>
  </si>
  <si>
    <t>20;30;40;45;50;53;</t>
  </si>
  <si>
    <t>8 TC</t>
  </si>
  <si>
    <t>WPG88TC72</t>
  </si>
  <si>
    <t>35;34.2;33.5;32.9;31.35;28.1;23.7</t>
  </si>
  <si>
    <t>0;20;30;35;40;42;40</t>
  </si>
  <si>
    <t>0;22.5;39;52;72;104;141.5</t>
  </si>
  <si>
    <t xml:space="preserve">      34.998     -.39665      .04019 -.010472267  .000397565</t>
  </si>
  <si>
    <t xml:space="preserve">      -0.011    10.93053  -0.9605527 0.032067484-0.000328839</t>
  </si>
  <si>
    <t>CT200 (8)</t>
  </si>
  <si>
    <t>curves\tc\8 tc</t>
  </si>
  <si>
    <t>20;30;35;40;42;</t>
  </si>
  <si>
    <t>3 TV</t>
  </si>
  <si>
    <t>TV</t>
  </si>
  <si>
    <t>WPG3TV31</t>
  </si>
  <si>
    <t>3 TV;3 TV;3 TV;3 TV</t>
  </si>
  <si>
    <t xml:space="preserve">     9.6    14.5    20.6      28</t>
  </si>
  <si>
    <t xml:space="preserve">    21.2    24.9    28.9    32.9</t>
  </si>
  <si>
    <t>9.6;8;7.1;4.4;2.5|14.5;13.5;12.7;10.9;8.2;6.2;5.1|20.6;19.5;18.8;16.9;15.7;14.3;11.2;9.1;8.2|28;26.2;25.55;23.75;21.5;18.75;15.05;12.8;12.2</t>
  </si>
  <si>
    <t>0;35;39;35;32|0;35;40;43;40;35;33|0;35;40;45;45.35;45;40;35;33|0;35;40;45;46.5;45;40;35;33</t>
  </si>
  <si>
    <t>0;8.8;12.2;18.2;21.2|0;7.8;10.7;15.1;19.8;23;24.9|0;8.7;11.3;16;18.1;20.5;24.6;27.6;28.9|0;11;13.19;17.4;21;24.9;29.2;32.1;32.9</t>
  </si>
  <si>
    <t>0;0;0;0;0|0;0;0;0;0;0;0|0;0;0;0;0;0;0;0;0|0;0;0;0;0;0;0;0;0</t>
  </si>
  <si>
    <t xml:space="preserve">   1   1   5   5</t>
  </si>
  <si>
    <t xml:space="preserve">         9.6     -.25876    .0232761 -.001924054  3.0976E-05      14.501     -.12192    .0109227 -.001833268  3.9442E-05      20.602     -.74492    .3914215 -.227634464  .020412668      28.001    -1.12316    .5577086 -.229623116  .017525502</t>
  </si>
  <si>
    <t xml:space="preserve">           0     5.18261  -0.0145414-0.018472347 0.000518184       0.017     6.48309  -0.2746654 0.001467804  4.9333E-05       0.018     27.7136  -4.6393396 0.093185961 0.008573735      -0.009    19.97264  -1.2226565-0.306860068  0.02247358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</si>
  <si>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</t>
  </si>
  <si>
    <t>TV75 (5)</t>
  </si>
  <si>
    <t>curves\tv\3 tv</t>
  </si>
  <si>
    <t>DTV3127</t>
  </si>
  <si>
    <t>35;40;45;46;</t>
  </si>
  <si>
    <t>48;521;0;35|587;6;0;30||</t>
  </si>
  <si>
    <t>TV75_(5VO-M).png</t>
  </si>
  <si>
    <t>VS100R-METAL</t>
  </si>
  <si>
    <t>VS</t>
  </si>
  <si>
    <t>WPG100SP31</t>
  </si>
  <si>
    <t>SP</t>
  </si>
  <si>
    <t>100 SP</t>
  </si>
  <si>
    <t>50.2;50;49.6;48.8;48.1;46.8;43.9;40.7;35.5</t>
  </si>
  <si>
    <t>0;13;21;32;39;49;68;83.5;104.5</t>
  </si>
  <si>
    <t>0;0;0;0;0;0;0;0;0</t>
  </si>
  <si>
    <t xml:space="preserve">      50.201      .05621   -.1699887  .004908053 -.000195357</t>
  </si>
  <si>
    <t xml:space="preserve">      -0.044    17.94726  -1.9265072 0.074396107-0.000588036</t>
  </si>
  <si>
    <t>VS100 (5)</t>
  </si>
  <si>
    <t>curves\vs\vs100r-metal</t>
  </si>
  <si>
    <t>VS100206R-CR</t>
  </si>
  <si>
    <t>500;700;900;1100;1300;1400</t>
  </si>
  <si>
    <t>VS100R-RUBBER</t>
  </si>
  <si>
    <t>WPG100SR33</t>
  </si>
  <si>
    <t>SPR</t>
  </si>
  <si>
    <t>100 SPR</t>
  </si>
  <si>
    <t>51.9;51.25;50.8;50;49.2;47.3;42.8;37</t>
  </si>
  <si>
    <t>0;30;40;50;55;60;62;60</t>
  </si>
  <si>
    <t>0;17.5;26;38;47;62.3;84.8;106</t>
  </si>
  <si>
    <t>0;0;0;0;0;0;0;0</t>
  </si>
  <si>
    <t xml:space="preserve">      51.909     -.43275    .0549487 -.021363094  .000708332</t>
  </si>
  <si>
    <t xml:space="preserve">       -0.01    21.56831   -2.785203 0.166071889-0.004234336</t>
  </si>
  <si>
    <t>VSR100 (5)</t>
  </si>
  <si>
    <t>curves\vs\vs100r-rubber</t>
  </si>
  <si>
    <t>VS100206R-RU</t>
  </si>
  <si>
    <t>30;40;50;55;60;62;</t>
  </si>
  <si>
    <t>600;800;1000;1200;1400;1400</t>
  </si>
  <si>
    <t>WPG150SP31</t>
  </si>
  <si>
    <t>150 SP</t>
  </si>
  <si>
    <t>37.3;37.2;36.86;36;35.35;34.15;33.45;29.2;24.4</t>
  </si>
  <si>
    <t>0;20;30;40;45;50;52;55;51.89</t>
  </si>
  <si>
    <t>0;22;35.2;54;65;82;90.5;135.5;181</t>
  </si>
  <si>
    <t xml:space="preserve">      37.299      .11174   -.0737279  .001636411  -4.392E-06</t>
  </si>
  <si>
    <t xml:space="preserve">       -0.03      10.515  -0.6231303  0.01008754  5.5214E-05</t>
  </si>
  <si>
    <t>VS150 (5)</t>
  </si>
  <si>
    <t>curves\vs\vs150s-metal</t>
  </si>
  <si>
    <t>VS200206S-CR</t>
  </si>
  <si>
    <t xml:space="preserve"> 20.0 30.0 40.0 45.0 50.0 52.0  0.0  0.0</t>
  </si>
  <si>
    <t>VS200S-METAL</t>
  </si>
  <si>
    <t>WPG200SP31</t>
  </si>
  <si>
    <t>200 SP</t>
  </si>
  <si>
    <t>40.8;39.2;38.4;37.15;35.2;33.5;30.1;26.05</t>
  </si>
  <si>
    <t>0;30;40;50;58;62;64;61.95</t>
  </si>
  <si>
    <t>0;52;75;105.5;141;172;228;292</t>
  </si>
  <si>
    <t xml:space="preserve">      40.789     -.59598   -.0651341 -.001647669  .000200841</t>
  </si>
  <si>
    <t xml:space="preserve">      -0.004     17.1349  -1.3240593 0.012526552 0.001208389</t>
  </si>
  <si>
    <t>VS200 (5)</t>
  </si>
  <si>
    <t>curves\vs\vs200s-metal</t>
  </si>
  <si>
    <t>30;40;50;58;62;64;</t>
  </si>
  <si>
    <t>400;500;600;700;800;850</t>
  </si>
  <si>
    <t>VS40P-METAL</t>
  </si>
  <si>
    <t>WPG40SP31</t>
  </si>
  <si>
    <t>40 SP</t>
  </si>
  <si>
    <t>40 SP;40 SP;40 SP;40 SP;40 SP;40 SP;40 SP;40 SP;40 SP;40 SP</t>
  </si>
  <si>
    <t xml:space="preserve"> 1000.00 1200.00 1400.00 1600.00 1800.00 2000.00 2200.00 2400.00 2600.00 2800.00</t>
  </si>
  <si>
    <t xml:space="preserve">     5.9     8.7    11.7    15.3    19.2    23.7    28.8    34.4    40.4    46.8</t>
  </si>
  <si>
    <t xml:space="preserve">     7.4     8.8    10.3    11.8    13.2    14.3    16.2    17.8    19.3    20.7</t>
  </si>
  <si>
    <t>5.9;5.7;5.1;4.2;3.3|8.7;8.2;7.6;6.5;5.9;4.9|11.7;11.1;10.4;9.4;8.3;6.6|15.3;14.8;13.9;13;10.8;8.6|19.2;18.6;17.7;16.9;15.4;13.7;12.1;10.9|23.7;23.1;22.1;21.5;19.9;17;14|28.8;28;26.9;24.7;20.6;16.7|34.4;33.6;32.4;31.7;29.9;24.5;19.8|40.4;39.4;38.2;37.4;35.6;28.9;23.2|46.8;45.7;44.6;43.5;41.3;33.3;27</t>
  </si>
  <si>
    <t>0;20;30;33;31|0;20;30;35;35.75;34.98|0;20;30;35;37.87;35|0;20;30;35;38.95;35|0;20;30;35;40;41.25;40;35.65|0;20;30;35;40;41.58;39.97|0;20;30;40;42.55;40|0;20;30;35;40;43.87;39.97|0;20;30;35;40;43.95;40|0;20;30;35;40;44.5;40</t>
  </si>
  <si>
    <t>0;2.1;3.8;5.7;7.4|0;2.1;4;6.6;7.5;8.8|0;2.2;4.1;5.9;7.8;10.3|0;2.3;4.3;5.7;9;11.8|0;2.3;4.4;5.7;8;10.1;12;13.2|0;2.4;4.5;5.6;7.9;11.3;14.3|0;2.5;4.6;7.9;12.4;16.2|0;2.6;4.7;5.8;7.9;13.5;17.8|0;2.7;4.8;6;8.1;14.7;19.3|0;2.8;4.85;6.25;8.55;15.65;20.7</t>
  </si>
  <si>
    <t>0;0;0;0;0|0;0;0;0;0;0|0;0;0;0;0;0|0;0;0;0;0;0|0;0;0;0;0;0;0;0|0;0;0;0;0;0;0|0;0;0;0;0;0|0;0;0;0;0;0;0|0;0;0;0;0;0;0|0;0;0;0;0;0;0</t>
  </si>
  <si>
    <t xml:space="preserve">   1   1   1   1   1   1   1   1   1   1</t>
  </si>
  <si>
    <t xml:space="preserve">         5.9      .11118   -.1179494  .010098513 -.000352158       8.701     -.20665   -.0190018  .001800295 -.000290551      11.697     -.19307   -.0306523 -.000784349  8.9088E-05      15.297     -.00295   -.1068708  .008082308 -.000261001      19.197     -.12671   -.0603743  .002636325 -7.0966E-05      23.702     -.13432   -.0542822  .001507433 -2.6075E-05      28.805     -.24651   -.0332779 -.000533885  4.1962E-05      34.396     -.11902   -.0774318  .003075818 -5.2689E-05      40.393      -.2098   -.0598672  .001902537 -3.2581E-05      46.781     -.18641   -.0643388  .001473418  -7.736E-06</t>
  </si>
  <si>
    <t xml:space="preserve">           0    10.44984  -0.0227379-0.233986376 0.016585147      -0.009    12.48228  -1.5754607  0.09093281-0.002464462      -0.014    12.21069  -1.6713068 0.136956618-0.005605673       0.017    11.05652  -1.2036215 0.072593769-0.002433144       0.021    11.31043  -1.3853838  0.10280024-0.003577579       0.072      9.9366  -0.8051635 0.025772646-0.000309382       0.072     9.56133  -0.7512289 0.025267136-0.000366647        0.03     9.23967  -0.6830208 0.022194514-0.000331623       0.015     8.91952  -0.6264162 0.018664669-0.000237913      -0.039      8.9045  -0.6681729 0.023959834 -0.00038393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</si>
  <si>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</t>
  </si>
  <si>
    <t xml:space="preserve">    0.00    0.00    0.00    0.00    0.00    0.00    0.00    0.00    0.00    0.00</t>
  </si>
  <si>
    <t>VS40 (5)</t>
  </si>
  <si>
    <t>curves\vs\vs40p-metal</t>
  </si>
  <si>
    <t>VS40206P-CR</t>
  </si>
  <si>
    <t>PV</t>
  </si>
  <si>
    <t>49;537;0;25|606;7;0;60||</t>
  </si>
  <si>
    <t>VS40_(5VO-M).png</t>
  </si>
  <si>
    <t>VS40P-RUBBER</t>
  </si>
  <si>
    <t>WPG40SR33</t>
  </si>
  <si>
    <t>40 SPR</t>
  </si>
  <si>
    <t>40.6;39.3;37.5;35.8;32.2;30;28;22.2</t>
  </si>
  <si>
    <t>0;20;30;35;40;40.5;40;35</t>
  </si>
  <si>
    <t>0;2.9;5.2;6.8;9.6;11.1;12.3;15.6</t>
  </si>
  <si>
    <t xml:space="preserve">      40.599     -.24422    -.070464  .000253179  2.6948E-05</t>
  </si>
  <si>
    <t xml:space="preserve">       0.031     8.36942    -0.58016 0.018625873-0.000424519</t>
  </si>
  <si>
    <t>VSR40 (5)</t>
  </si>
  <si>
    <t>curves\vs\vs40p-rubber</t>
  </si>
  <si>
    <t>VS40206P-RU</t>
  </si>
  <si>
    <t>20;30;35;40;40.5;</t>
  </si>
  <si>
    <t>1200;1400;1600;1800;2000;2200;2400;2600</t>
  </si>
  <si>
    <t>VS65Q-METAL</t>
  </si>
  <si>
    <t>WPG65SP31</t>
  </si>
  <si>
    <t>65 SP-M</t>
  </si>
  <si>
    <t>48.8;48.5;47.35;46.65;45;43.5;41.8;39;35.5;32.5</t>
  </si>
  <si>
    <t>0;25;35;40;45;48;50;51;50;48</t>
  </si>
  <si>
    <t>0;7.1;12.3;14.1;17.9;21.2;24.4;29.3;35;40.1</t>
  </si>
  <si>
    <t xml:space="preserve">      48.795      .51676   -.5268911  .025909798  1.8868E-05</t>
  </si>
  <si>
    <t xml:space="preserve">       0.115    20.60624  -2.6731051 0.118379572-0.001590488</t>
  </si>
  <si>
    <t>VS65 (5)</t>
  </si>
  <si>
    <t>curves\vs\vs65q-metal</t>
  </si>
  <si>
    <t>65 SP</t>
  </si>
  <si>
    <t>VS65206Q-CR</t>
  </si>
  <si>
    <t>25;35;40;45;48;50;51;</t>
  </si>
  <si>
    <t>700;900;1100;1300;1500;1700;1900</t>
  </si>
  <si>
    <t>VS65Q-RUBBER</t>
  </si>
  <si>
    <t>WPG65SR33</t>
  </si>
  <si>
    <t>65 SPR</t>
  </si>
  <si>
    <t>65 SPR;65 SPR;65 SPR;65 SPR;65 SPR;65 SPR;65 SPR</t>
  </si>
  <si>
    <t xml:space="preserve">  700.00  900.00 1100.00 1300.00 1500.00 1700.00 1900.00</t>
  </si>
  <si>
    <t xml:space="preserve">     6.9    11.7    17.6    24.5    32.6    41.9    49.8</t>
  </si>
  <si>
    <t xml:space="preserve">    15.3    19.5    24.2    28.7      33    37.4    40.5</t>
  </si>
  <si>
    <t>6.9;6.9;6.7;6.6;6.4;5.6;4.4|11.7;11.6;11.5;11;10.6;9.4;7.6|17.6;17.5;17.1;16.6;16;14.6;14.3;13.7;11.4|24.5;24.3;24;23.2;22.5;21;19.8;18.8;15.6|32.6;32.3;31.8;30.9;30.1;28.2;26.3;24.9;20.6|41.9;41.6;41.1;40.1;38.8;36.5;34;32.1;26.6|49.8;49.4;48.8;47.5;46;43;40.6;38;31.7</t>
  </si>
  <si>
    <t>0;20;30;40;45;46;45|0;20;30;40;45;47;45|0;20;30;40;45;50;50.1;50;45|0;20;30;40;45;50;50.2;50;45|0;20;30;40;45;50;50.3;50;45|0;20;30;40;45;50;50.4;50;45|0;20;30;40;45;50;50.5;50;45</t>
  </si>
  <si>
    <t>0;2.1;4;6;7.7;11.5;15.3|0;2.7;4.9;7.7;10;14.6;19.5|0;3.2;5.9;9.4;12.2;17;18.1;19.1;24.2|0;4;7;11.2;14.2;18.7;21.5;23.4;28.7|0;4.8;8.2;12.7;16;21;24.9;27.1;33|0;5.6;9.5;14.3;17.9;23.7;28;30.8;37.4|0;6.2;10.5;15.4;19.5;26;30.1;33.7;40.5</t>
  </si>
  <si>
    <t>0;0;0;0;0;0;0|0;0;0;0;0;0;0|0;0;0;0;0;0;0;0;0|0;0;0;0;0;0;0;0;0|0;0;0;0;0;0;0;0;0|0;0;0;0;0;0;0;0;0|0;0;0;0;0;0;0;0;0</t>
  </si>
  <si>
    <t xml:space="preserve">   1   1   1   5   5   5   5</t>
  </si>
  <si>
    <t xml:space="preserve">       6.911     -.02242   -.0011417 -.000755038  1.4624E-05      11.693      .02306   -.0175178  .000558815 -1.4001E-05      17.616     -.02735   -.0088303  6.0535E-05  -3.642E-06      24.502     -.09276   -.1917138 -.006642203 -.000739118      32.612     -.24722   -.1125795 -.018231904 -.000128299      41.897     -.01418   -.2042155  -.00509162 -.000523006      49.785      .13445   -.3431576  .024958846 -.002304147</t>
  </si>
  <si>
    <t xml:space="preserve">       0.274    10.07443  -0.5703558-0.005582388 0.000803821       0.144     8.35945  -0.4800961 0.009045907 -1.8657E-05        0.12     7.44178  -0.4873216 0.018726707 -0.00033605       0.088    29.57805  -7.0417804 0.982718231-0.072560268       0.061    24.12334  -4.0523475 0.351427695 -0.02046172       0.051    20.22654  -2.4598007 0.103987003 -0.00391401       0.025    18.17151   -1.848752 0.043107137-0.000885699</t>
  </si>
  <si>
    <t xml:space="preserve">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           0</t>
  </si>
  <si>
    <t>VSR65 (5)</t>
  </si>
  <si>
    <t>curves\vs\vs65q-rubber</t>
  </si>
  <si>
    <t>VS65206Q-RU</t>
  </si>
  <si>
    <t xml:space="preserve"> 20.0 30.0 40.0 45.0 50.0 50.5  0.0  0.0</t>
  </si>
  <si>
    <t xml:space="preserve">     700     900    1100    1300    1500    1700    1900     0.0</t>
  </si>
  <si>
    <t>45;533;0;45|586;5;0;60||</t>
  </si>
  <si>
    <t>VSR65_(5VO-R).png</t>
  </si>
  <si>
    <t>VT100R-METAL</t>
  </si>
  <si>
    <t>VT</t>
  </si>
  <si>
    <t>WPG 4AF31</t>
  </si>
  <si>
    <t>29.1;28.9;28.7;28.3;27.5;26.6;23.8;21.5</t>
  </si>
  <si>
    <t>0;7;12.1;19.2;28;36;51.8;61.6</t>
  </si>
  <si>
    <t xml:space="preserve">        29.1     -.11442   -.0145193 -.003128704  8.0805E-05</t>
  </si>
  <si>
    <t xml:space="preserve">       0.201    16.16421  -1.8705091 0.121819854-0.003832881</t>
  </si>
  <si>
    <t>VT100147R-CR</t>
  </si>
  <si>
    <t>VT005R</t>
  </si>
  <si>
    <t xml:space="preserve"> 20.0 30.0 40.0 50.0 55.0  0.0  0.0  0.0</t>
  </si>
  <si>
    <t xml:space="preserve">     500     600     700     800     900    1000    1050       0</t>
  </si>
  <si>
    <t>43;534;0;60|626;11;0;35||</t>
  </si>
  <si>
    <t>VT100R-METAL.png</t>
  </si>
  <si>
    <t>VT150R-METAL</t>
  </si>
  <si>
    <t>WPG 6AF31</t>
  </si>
  <si>
    <t>25.2;25.3;25.1;24.7;24.1;23.4;21.8;20;18.4</t>
  </si>
  <si>
    <t>0;20.2;32.1;48.4;59.5;71.6;92.1;109.9;122.7</t>
  </si>
  <si>
    <t xml:space="preserve">      25.197      .17534   -.0636903   .00097536 -5.0939E-05</t>
  </si>
  <si>
    <t xml:space="preserve">      -0.045    11.62986  -0.8395187 0.034539987-0.001106637</t>
  </si>
  <si>
    <t>VT150147R-CR</t>
  </si>
  <si>
    <t xml:space="preserve"> 20.0 30.0 40.0 45.0 50.0 55.0  0.0  0.0</t>
  </si>
  <si>
    <t xml:space="preserve">     350     400     450     500     550     600     650     680</t>
  </si>
  <si>
    <t>52;538;0;120|633;10;0;30||</t>
  </si>
  <si>
    <t>VT150R-METAL.png</t>
  </si>
  <si>
    <t>VT200S-METAL</t>
  </si>
  <si>
    <t>WPG 8AF31</t>
  </si>
  <si>
    <t>WPG8AF31</t>
  </si>
  <si>
    <t>26.6;25.9;25.2;23.9;22.1;20.8;19.2</t>
  </si>
  <si>
    <t>0;30;40;50;55;55.7;55</t>
  </si>
  <si>
    <t>0;40.1;64.6;102.3;148.9;176.7;205.4</t>
  </si>
  <si>
    <t xml:space="preserve">        26.6     -.07145   -.0318795  .001699654  -4.053E-05</t>
  </si>
  <si>
    <t xml:space="preserve">       0.039     9.88315  -0.7172333 0.026523324-0.000423183</t>
  </si>
  <si>
    <t>VT200147S-CR</t>
  </si>
  <si>
    <t>VT005S</t>
  </si>
  <si>
    <t xml:space="preserve"> 30.0 40.0 50.0 55.0  0.0  0.0  0.0  0.0</t>
  </si>
  <si>
    <t xml:space="preserve">     350     400     450     500     550     600     650       0</t>
  </si>
  <si>
    <t>32;472;0;180|623;14;0;30||</t>
  </si>
  <si>
    <t>VT200S-METAL.png</t>
  </si>
  <si>
    <t>VT50Q-METAL</t>
  </si>
  <si>
    <t>WPG 2AF31</t>
  </si>
  <si>
    <t>30.2;30;29.6;28.4;27;25;22.7</t>
  </si>
  <si>
    <t>0;2.6;4.5;7.3;9.5;12;14.2</t>
  </si>
  <si>
    <t xml:space="preserve">      30.195       .0336   -.0383198  7.3096E-05 -1.1034E-05</t>
  </si>
  <si>
    <t xml:space="preserve">       0.005       9.473  -0.7927622 0.043586325-0.001340014</t>
  </si>
  <si>
    <t>VT50147Q-CR</t>
  </si>
  <si>
    <t>VT005Q</t>
  </si>
  <si>
    <t xml:space="preserve">     800    1000    1200    1400    1600    1800       0       0</t>
  </si>
  <si>
    <t>47;543;0;16|628;2;0;35||</t>
  </si>
  <si>
    <t>VT50Q-METAL.png</t>
  </si>
  <si>
    <t>VT80Q-METAL</t>
  </si>
  <si>
    <t>WPG 3AF31</t>
  </si>
  <si>
    <t>29.4;28.9;28.5;27.9;26.8;25.6;23.9;22.5</t>
  </si>
  <si>
    <t>0;20;30;40;50;55;57;54.98</t>
  </si>
  <si>
    <t>0;6.5;10.4;15;22.2;28.7;36.2;41</t>
  </si>
  <si>
    <t xml:space="preserve">      29.397      -.2428   -.1157015  .012796585 -.000924333</t>
  </si>
  <si>
    <t xml:space="preserve">      -0.072    17.52322  -1.5047706 0.023436526 -5.5219E-05</t>
  </si>
  <si>
    <t>VT80147Q-CR</t>
  </si>
  <si>
    <t xml:space="preserve">     700     900    1100    1300    1500       0       0       0</t>
  </si>
  <si>
    <t>52;540;0;45|623;6;0;35||</t>
  </si>
  <si>
    <t>VT80Q-METAL.png</t>
  </si>
  <si>
    <t>WHP100-400PE</t>
  </si>
  <si>
    <t>WHP</t>
  </si>
  <si>
    <t>WPG100PH30</t>
  </si>
  <si>
    <t>PCH</t>
  </si>
  <si>
    <t>100 PCH-M</t>
  </si>
  <si>
    <t>132.5;131.2;129.2;123.5;115;104;90.3;76</t>
  </si>
  <si>
    <t>0;40;50;60;65;67;65;60</t>
  </si>
  <si>
    <t>0;22.5;32;46.5;61.7;77.7;94.7;110.8</t>
  </si>
  <si>
    <t>4.7;4.7;5.5;5.9;6.5;7.9;9.4;10.6</t>
  </si>
  <si>
    <t xml:space="preserve">     132.478      .89285   -.6119569 -.004080737  .000950798</t>
  </si>
  <si>
    <t xml:space="preserve">       0.001     24.1427  -3.2807972 0.214661068-0.006418897</t>
  </si>
  <si>
    <t xml:space="preserve">       4.666     0.08393   0.0059167   0.0083743-0.000470082</t>
  </si>
  <si>
    <t>DW100 (5)</t>
  </si>
  <si>
    <t>curves\whp\whp100-500pe</t>
  </si>
  <si>
    <t>100 PCH</t>
  </si>
  <si>
    <t>WHP100147PE-CR</t>
  </si>
  <si>
    <t>PE</t>
  </si>
  <si>
    <t xml:space="preserve"> 40.0 50.0 60.0 65.0 67.0  0.0  0.0  0.0</t>
  </si>
  <si>
    <t xml:space="preserve">    1400    1600    1800    2000    2200  0.0        0.0     0.0</t>
  </si>
  <si>
    <t>WHP100-500PE</t>
  </si>
  <si>
    <t>0;22.5;34;46.5;61.7;77.7;94.7;110.8</t>
  </si>
  <si>
    <t xml:space="preserve">      132.45     1.13159   -.6776149   .00163181  .000797497</t>
  </si>
  <si>
    <t xml:space="preserve">       0.077    23.44515  -3.0789841 0.195834827-0.005858453</t>
  </si>
  <si>
    <t xml:space="preserve">       4.668     0.02723   0.0284307 0.005535637-0.000355572</t>
  </si>
  <si>
    <t>40;50;60;65;67;</t>
  </si>
  <si>
    <t>1400;1600;1800;2000;2200;2200</t>
  </si>
  <si>
    <t>WHP125-330P</t>
  </si>
  <si>
    <t xml:space="preserve">WHP150058P-CR                </t>
  </si>
  <si>
    <t>142.7;148.4;150;149.4;148.1;145.7;142.7;139;131.1;120.8;114.1;104.3;100.7</t>
  </si>
  <si>
    <t>0;35;50;57;62;66;69;70.5;71.5;70.5;69;66;64</t>
  </si>
  <si>
    <t>0;17.5;32.8;41.1;48.9;56.9;66.1;73.2;85.3;98.5;105.6;114.6;117.9</t>
  </si>
  <si>
    <t>3.2;4;4.5;5.4;5.9;6.5;7.2;7.8;8.5;9;9.5;10;10.4</t>
  </si>
  <si>
    <t xml:space="preserve">     142.706     4.49162   -.7192008  .007482904 -.000379693</t>
  </si>
  <si>
    <t xml:space="preserve">       0.346    24.31756  -3.4493611 0.259146249-0.008712752</t>
  </si>
  <si>
    <t xml:space="preserve">       3.262    -0.00045   0.2006126-0.021817582 0.000771519</t>
  </si>
  <si>
    <t>125PC-DWU</t>
  </si>
  <si>
    <t xml:space="preserve"> WHP150058P-CR</t>
  </si>
  <si>
    <t>WHP005P</t>
  </si>
  <si>
    <t xml:space="preserve"> 50.0 57.0 62.0 66.0 69.0 70.5  0.0  0.0</t>
  </si>
  <si>
    <t xml:space="preserve">    1200    1500    1800    2100    2350    2600    2800    2950</t>
  </si>
  <si>
    <t>27;535;0;120|570;44;0;160||</t>
  </si>
  <si>
    <t>WHP125-330P.png</t>
  </si>
  <si>
    <t>WHP150-400PE</t>
  </si>
  <si>
    <t>WPG 150PC30</t>
  </si>
  <si>
    <t>80;79.1;77.9;75.7;71.1;68.3;60.3;50.6</t>
  </si>
  <si>
    <t>0;40;50;60;70;73;76;73</t>
  </si>
  <si>
    <t>0;29;42.9;61.6;89.8;102.6;133.4;163.1</t>
  </si>
  <si>
    <t>2.9;2.9;3;3.4;4.5;5.2;7.6;10.6</t>
  </si>
  <si>
    <t xml:space="preserve">      80.009      -.0049   -.1135047  .000430933 -1.4269E-05</t>
  </si>
  <si>
    <t xml:space="preserve">       0.128    18.49408  -2.0433425 0.121074731-0.002976188</t>
  </si>
  <si>
    <t xml:space="preserve">         2.9    -0.03651   0.0039999 0.002848545 -7.2444E-05</t>
  </si>
  <si>
    <t xml:space="preserve"> 40.0 50.0 60.0 70.0 73.0  0.0  0.0  0.0</t>
  </si>
  <si>
    <t xml:space="preserve">     900    1100    1300    1500    1750       0       0       0</t>
  </si>
  <si>
    <t>46;537;0;180|476;15;0;90||634;517;0;12</t>
  </si>
  <si>
    <t>WHP150-400PE.png</t>
  </si>
  <si>
    <t>WHP150-440Q</t>
  </si>
  <si>
    <t xml:space="preserve">WHP150058Q-CR                  </t>
  </si>
  <si>
    <t>WHP150-440Q;WHP150-440Q;WHP150-440Q</t>
  </si>
  <si>
    <t xml:space="preserve"> 1000.00 1600.00 2200.00</t>
  </si>
  <si>
    <t xml:space="preserve">    28.4    74.2   141.2</t>
  </si>
  <si>
    <t xml:space="preserve">   102.3   167.3     228</t>
  </si>
  <si>
    <t>28.4;30.1;30.3;30.3;30.1;29.2;28.4;27;25.7;23.7;21.2|74.2;77.2;78.6;78.6;77.8;76.4;74.8;72.6;70.3;67.3;64.3;60.1;54.1|141.2;146.8;148.7;149;147.3;144.8;142.1;139.3;133.5;125.2;120.3;112.8;104</t>
  </si>
  <si>
    <t>0;30;50;60;68;72;74;74.7;74;72;69|0;30;50;60;68;72;74;75;75.7;75;74;72;69|0;35;50;60;68;72;74;75;75.7;75;74;72;69</t>
  </si>
  <si>
    <t>0;15.2;26.9;36.7;48.4;58.7;67;75.8;83.7;92.5;102.3|0;22.5;42.1;56.8;74.9;89;99.8;110.1;120.8;130.6;140.4;152.6;167.3|0;32.8;57.2;77.8;101.8;120.4;134.5;145.8;165.4;186.4;197.2;212.3;228</t>
  </si>
  <si>
    <t>0;0;0;0;0;0;0;0;0;0;0|0;0;0;0;0;0;0;0;0;0;0;0;0|3;4;4.7;4.9;6.8;7.4;7.6;7.7;9.8;9.7;10.9;11.4;12</t>
  </si>
  <si>
    <t xml:space="preserve">  10  10  10</t>
  </si>
  <si>
    <t xml:space="preserve">      28.441     1.34434   -.2548515  .012204894 -.000677794      74.216     1.61013    -.121926 -.004524689  .000105491     141.225     2.14236   -.1373608 -.001357325   5.038E-06</t>
  </si>
  <si>
    <t xml:space="preserve">      -0.309    24.35163  -2.4444734 0.068546528 0.000253846      -0.178    16.20419  -1.1886746 0.036107612-0.000488751       0.222    12.84628  -0.8556375   0.0289448-0.000453554</t>
  </si>
  <si>
    <t xml:space="preserve">           0           0           0           0           0           0           0           0           0           0       3.027     0.23308   0.0085423 0.000144206    -9.1E-06</t>
  </si>
  <si>
    <t>150QC-DWU</t>
  </si>
  <si>
    <t xml:space="preserve"> WHP150058Q-CR</t>
  </si>
  <si>
    <t>WHP005Q</t>
  </si>
  <si>
    <t xml:space="preserve"> 50.0 60.0 68.0 72.0 74.0 75.0  0.0  0.0</t>
  </si>
  <si>
    <t xml:space="preserve">    1000    1200    1400    1600    1800    2000    2200       0</t>
  </si>
  <si>
    <t>26;537;0;250|621;41;0;160||</t>
  </si>
  <si>
    <t>WHP150-440Q.png</t>
  </si>
  <si>
    <t>WHP150-500PF</t>
  </si>
  <si>
    <t>WPG150PH30</t>
  </si>
  <si>
    <t>150 PCH-M</t>
  </si>
  <si>
    <t>132.5;131;128.2;124.9;118.1;104;82.5</t>
  </si>
  <si>
    <t>0;50;60;65;70;73;70</t>
  </si>
  <si>
    <t>0;47;70.5;85.5;109.5;150;194</t>
  </si>
  <si>
    <t>3.9;3.9;4.3;4.7;5.6;7.6;11</t>
  </si>
  <si>
    <t xml:space="preserve">     132.475       .5714   -.1850448  .001802375 -3.2149E-05</t>
  </si>
  <si>
    <t xml:space="preserve">       0.037    16.36118  -1.5523378 0.073997758-0.001436829</t>
  </si>
  <si>
    <t xml:space="preserve">       3.902     -0.1578   0.0379928-0.001295766  3.7555E-05</t>
  </si>
  <si>
    <t>DW150 (5)</t>
  </si>
  <si>
    <t>curves\whp\whp150-500pf</t>
  </si>
  <si>
    <t>150 PCH</t>
  </si>
  <si>
    <t>WHP150147PF-CR</t>
  </si>
  <si>
    <t>PF</t>
  </si>
  <si>
    <t>50;60;65;70;73;</t>
  </si>
  <si>
    <t>1200;1300;1400;1500;1600;1700;1800</t>
  </si>
  <si>
    <t>WHP200-500PF</t>
  </si>
  <si>
    <t>WPG 200PC30</t>
  </si>
  <si>
    <t>79.4;80.2;79.4;76.9;73.6;71.3;61.3;50.4</t>
  </si>
  <si>
    <t>0;50;60;70;75;77;79;77</t>
  </si>
  <si>
    <t>0;64.1;85.9;124.6;157.3;176.6;237.7;290.9</t>
  </si>
  <si>
    <t>3.4;3.4;3.6;4.1;4.7;5.3;7.7;10.5</t>
  </si>
  <si>
    <t xml:space="preserve">      79.406     1.12397   -.3197807 -.002461756  .000277312</t>
  </si>
  <si>
    <t xml:space="preserve">      -0.013    28.23653  -4.0326608 0.278977738-0.007913042</t>
  </si>
  <si>
    <t xml:space="preserve">       3.396    -0.03307   0.0005669 0.007937087-0.000277584</t>
  </si>
  <si>
    <t>curves\whp\WHP200-500PF</t>
  </si>
  <si>
    <t xml:space="preserve"> 50.0 60.0 65.0 70.0 75.0 77.0  0.0  0.0</t>
  </si>
  <si>
    <t xml:space="preserve">     700     800     900    1000    1100    1200    1300    1400</t>
  </si>
  <si>
    <t>47;543;0;300|523;200;0;90||633;552;0;12</t>
  </si>
  <si>
    <t>WHP200-500PF.png</t>
  </si>
  <si>
    <t>WHP200-550R</t>
  </si>
  <si>
    <t xml:space="preserve">WHP200058R-CR                 </t>
  </si>
  <si>
    <t>WHP200-550R;WHP200-550R;WHP200-550R</t>
  </si>
  <si>
    <t xml:space="preserve">  600.00 1350.00 1770.00</t>
  </si>
  <si>
    <t xml:space="preserve">    16.7    83.6   144.2</t>
  </si>
  <si>
    <t xml:space="preserve">   126.3     302     400</t>
  </si>
  <si>
    <t>16.7;17.2;17.5;17.2;17;15.5;12.8|83.6;87.4;88;88.3;87.4;86.2;84.2;80.9;76.7;72.3;66.3;60.7|144.2;149.3;150.8;151.1;150.2;148.1;144.5;139.5;132;123.4;112.4;103.2</t>
  </si>
  <si>
    <t>0;40;50;60;68;70;68|0;40;50;60;68;73;76;78;78.6;78;76;73|0;40;50;60;68;73;76;78;78.6;78;76;72</t>
  </si>
  <si>
    <t>0;20.4;36.9;51;69.8;97.3;126.3|0;43.9;69;93.3;120;145.1;167.8;195.3;222;248.6;276.9;302|0;52.5;87.1;117.6;153.7;185.9;216.5;254.1;293.3;331.8;372.5;400</t>
  </si>
  <si>
    <t>0;0;0;0;0;0;0|0;0;0;0;0;0;0;0;0;0;0;0|2.9;3.9;4.7;5.4;6.1;6.8;7.6;8.4;9;9.5;10;10.5</t>
  </si>
  <si>
    <t xml:space="preserve">      16.698      .33776   -.0369849 -.000779389 -2.7399E-05      83.643     2.71836    -.387985 -.002921988  .000279479     144.172      3.2645   -.3960939   .00427328 -.000139641</t>
  </si>
  <si>
    <t xml:space="preserve">        0.51    25.09048  -4.0038389 0.322948134-0.010278376       0.495    27.25068  -3.8961219 0.282315706-0.008740913       0.728    22.22761  -2.6709789 0.161487376-0.004001148</t>
  </si>
  <si>
    <t xml:space="preserve">           0           0           0           0           0           0           0           0           0           0       2.916     0.38759   0.0444854 -0.00397659  9.4905E-05</t>
  </si>
  <si>
    <t>200RC-DWU</t>
  </si>
  <si>
    <t>WHP200058R-CR</t>
  </si>
  <si>
    <t>WHP005R</t>
  </si>
  <si>
    <t xml:space="preserve"> 50.0 60.0 68.0 73.0 76.0 78.0  0.0  0.0</t>
  </si>
  <si>
    <t xml:space="preserve">     600     800    1000    1200    1350    1500    1650    1770</t>
  </si>
  <si>
    <t>27;537;0;400|583;45;0;160||</t>
  </si>
  <si>
    <t>WHP200-550R.png</t>
  </si>
  <si>
    <t>26/22-MD550G-M</t>
  </si>
  <si>
    <t>WPG</t>
  </si>
  <si>
    <t>WPG550L30</t>
  </si>
  <si>
    <t>550L30</t>
  </si>
  <si>
    <t>26/22-MD550G-M;26/22-MD550G-M;26/22-MD550G-M</t>
  </si>
  <si>
    <t xml:space="preserve">  250.00  400.00  475.00</t>
  </si>
  <si>
    <t xml:space="preserve">    14.4    36.7    51.8</t>
  </si>
  <si>
    <t xml:space="preserve">    1401    2234    2653</t>
  </si>
  <si>
    <t>14.4;14.5;14.3;14;13.5;12.9;11.7;10.6;9.8|36.7;37.1;36.4;35.2;34.4;33;30;27;25.2|51.8;51.9;51.2;49.4;48.5;46.2;42.2;37.9;35.5</t>
  </si>
  <si>
    <t>0;60;70;78;81;84;86;84;80.9|0;60;70;78;81;84;86;84;80.9|0;60;70;78;81;84;86;84;80.9</t>
  </si>
  <si>
    <t>0;377.2;515;664.7;754.5;880.2;1096;1281;1401|0;616.8;826.3;1072;1210;1407;1743;2054;2234|0;730.5;982;1270;1443;1677;2066;2437;2653</t>
  </si>
  <si>
    <t>2.1;2.3;2.5;2.5;2.6;2.9;3.2;3;3.3|0;0;0;0;0;0;0;11.6;11.9|8;8.6;9;9.5;10.1;10.5;11.4;12;12</t>
  </si>
  <si>
    <t xml:space="preserve"> 100 100 250</t>
  </si>
  <si>
    <t xml:space="preserve">      14.396      .13208   -.0143601  -.00368812   .00016972      36.703       .3378   -.0453249 -9.5775E-05  1.8606E-05      51.799      .46464   -.0735716  -.02939245  .001748972</t>
  </si>
  <si>
    <t xml:space="preserve">       0.019    24.27261  -2.7996978 0.165524429-0.004280774       0.004     14.8167  -1.0324365 0.037035183-0.000593389       0.005    31.33813  -4.6372134 0.353489478-0.011980369</t>
  </si>
  <si>
    <t xml:space="preserve">       2.104     0.01145   0.0115744-0.000250946 -1.6184E-05           0           0           0           0           0           8     0.09969    0.017151 0.008445164-0.000715063</t>
  </si>
  <si>
    <t>550GAM</t>
  </si>
  <si>
    <t>curves\whp\26/22-MD550G-M</t>
  </si>
  <si>
    <t>550G L-5VCM</t>
  </si>
  <si>
    <t>MD550147G-CR</t>
  </si>
  <si>
    <t>550G</t>
  </si>
  <si>
    <t>Curve loaded from Warman / Weir printed curve WPG550L30</t>
  </si>
  <si>
    <t xml:space="preserve"> 60.0 70.0 78.0 81.0 84.0 86.0  0.0  0.0</t>
  </si>
  <si>
    <t xml:space="preserve">     250     300     350     400     450     475     0.0     0.0</t>
  </si>
  <si>
    <t>34;535;0;3000|475;9;0;60||639;523;0;16</t>
  </si>
  <si>
    <t>26_22-MD550G-M.png</t>
  </si>
  <si>
    <t>26/22-MD550G-R</t>
  </si>
  <si>
    <t>WPG550L32</t>
  </si>
  <si>
    <t>550L33</t>
  </si>
  <si>
    <t>26/22-MD550G-R;26/22-MD550G-R;26/22-MD550G-R</t>
  </si>
  <si>
    <t xml:space="preserve">  250.00  350.00  425.00</t>
  </si>
  <si>
    <t xml:space="preserve">    14.6    28.6    41.8</t>
  </si>
  <si>
    <t xml:space="preserve">    1362    1912    2325</t>
  </si>
  <si>
    <t>14.6;15;15;14.9;14.8;14.6;13.9;12.4;10.6|28.6;29.3;29.4;29.1;29;28.4;27.1;24.2;20.7|41.8;43.2;43;42.9;42.3;41.7;40;35.6;30.6</t>
  </si>
  <si>
    <t>0;50;60;70;75;80;85;88;84.9|0;50;60;70;75;80;85;88;84.8|0;50;60;70;75;80;85;88;84.8</t>
  </si>
  <si>
    <t>0;267.5;345.3;462.1;544.7;651.8;822;1119;1362|0;374.5;491.2;656.6;758.8;909.5;1143;1561;1912|0;452.3;598.2;797.7;929;1109;1396;1897;2325</t>
  </si>
  <si>
    <t>2.1;2.4;2.6;2.6;2.7;2.7;2.9;3.3;3.7|0;0;0;0;0;0;0;0;0|6.3;6.7;7.2;7.4;7.5;7.7;8.2;9.5;10.6</t>
  </si>
  <si>
    <t xml:space="preserve"> 100 100 100</t>
  </si>
  <si>
    <t xml:space="preserve">      14.599      .25869   -.0403035 -.000187023  1.2531E-05      28.588      .37841   -.0459148  .000139123   5.247E-06      41.808      .52696   -.0557676  .000736473  -8.817E-06</t>
  </si>
  <si>
    <t xml:space="preserve">      -0.049    25.95509   -3.097063 0.183661282-0.004592851      -0.017    18.26689  -1.5199243 0.062736695-0.001102216      -0.003    15.13059  -1.0539884 0.036664038-0.000540818</t>
  </si>
  <si>
    <t xml:space="preserve">       2.094     0.20803   -0.033818 0.003220007 -8.9714E-05           0           0           0           0           0       6.277     0.16883  -0.0109948 0.000879684 -1.6086E-05</t>
  </si>
  <si>
    <t>550GAM/GGAM</t>
  </si>
  <si>
    <t>curves\whp\26/22-MD550G-R</t>
  </si>
  <si>
    <t>MD550147G-RU</t>
  </si>
  <si>
    <t>Curve loaded from Warman / Weir printed curve WPG550L32</t>
  </si>
  <si>
    <t xml:space="preserve"> 50.0 60.0 70.0 75.0 80.0 88.0 85.0  0.0</t>
  </si>
  <si>
    <t xml:space="preserve">     250     300     350     400     425       0     0.0     0.0</t>
  </si>
  <si>
    <t>27;541;0;2500|473;7;0;50||634;517;0;12</t>
  </si>
  <si>
    <t>26_22-MD550G-R.png</t>
  </si>
  <si>
    <t>26/22-MD550TU-M</t>
  </si>
  <si>
    <t>550TU</t>
  </si>
  <si>
    <t>550TU L-5VCM</t>
  </si>
  <si>
    <t>MD550147T-CR</t>
  </si>
  <si>
    <t>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</si>
</sst>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admin\Lytrose\repos\Pump-Master-Pro\Documentation\PumpOG.xlsx" TargetMode="External"/><Relationship Id="rId1" Type="http://schemas.openxmlformats.org/officeDocument/2006/relationships/externalLinkPath" Target="Pump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SPSA</v>
          </cell>
          <cell r="C2" t="str">
            <v>SLURRY</v>
          </cell>
          <cell r="BU2">
            <v>1800</v>
          </cell>
          <cell r="BV2">
            <v>228</v>
          </cell>
          <cell r="CB2">
            <v>30.15</v>
          </cell>
          <cell r="IV2" t="str">
            <v>20;30;40;45;47;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D0E2-0309-41EF-BF0E-A9177B4408BC}">
  <sheetPr codeName="Sheet1"/>
  <dimension ref="A1:FR16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13" sqref="F13"/>
    </sheetView>
  </sheetViews>
  <sheetFormatPr defaultRowHeight="14.4" x14ac:dyDescent="0.3"/>
  <cols>
    <col min="1" max="1" width="4.88671875" customWidth="1"/>
    <col min="2" max="2" width="12.77734375" customWidth="1"/>
    <col min="3" max="3" width="18.21875" bestFit="1" customWidth="1"/>
    <col min="4" max="4" width="13.88671875" customWidth="1"/>
    <col min="5" max="5" width="22.5546875" bestFit="1" customWidth="1"/>
    <col min="7" max="7" width="10.6640625" bestFit="1" customWidth="1"/>
    <col min="8" max="8" width="16.33203125" bestFit="1" customWidth="1"/>
    <col min="10" max="10" width="17.109375" bestFit="1" customWidth="1"/>
    <col min="42" max="42" width="15.6640625" bestFit="1" customWidth="1"/>
    <col min="43" max="43" width="24.33203125" bestFit="1" customWidth="1"/>
    <col min="59" max="59" width="23.77734375" bestFit="1" customWidth="1"/>
    <col min="72" max="72" width="42.33203125" bestFit="1" customWidth="1"/>
    <col min="73" max="73" width="28.33203125" bestFit="1" customWidth="1"/>
    <col min="74" max="74" width="16.5546875" customWidth="1"/>
    <col min="76" max="76" width="8.33203125" customWidth="1"/>
    <col min="77" max="77" width="18.77734375" customWidth="1"/>
    <col min="78" max="78" width="12.5546875" customWidth="1"/>
  </cols>
  <sheetData>
    <row r="1" spans="1:174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</row>
    <row r="2" spans="1:174" x14ac:dyDescent="0.3">
      <c r="A2">
        <v>1</v>
      </c>
      <c r="B2">
        <v>1</v>
      </c>
      <c r="C2" t="s">
        <v>174</v>
      </c>
      <c r="D2" t="s">
        <v>175</v>
      </c>
      <c r="E2" t="s">
        <v>176</v>
      </c>
      <c r="F2" t="s">
        <v>176</v>
      </c>
      <c r="G2">
        <v>1450</v>
      </c>
      <c r="H2">
        <v>300</v>
      </c>
      <c r="I2" t="s">
        <v>177</v>
      </c>
      <c r="J2" t="s">
        <v>178</v>
      </c>
      <c r="L2">
        <v>50</v>
      </c>
      <c r="M2">
        <v>0</v>
      </c>
      <c r="N2">
        <v>-7.1875000000000003E-3</v>
      </c>
      <c r="O2">
        <v>0</v>
      </c>
      <c r="P2">
        <v>0</v>
      </c>
      <c r="Q2">
        <v>0</v>
      </c>
      <c r="R2">
        <v>-35.5555555555556</v>
      </c>
      <c r="S2">
        <v>4.8888888888888902</v>
      </c>
      <c r="T2">
        <v>-5.5555555555555601E-2</v>
      </c>
      <c r="U2">
        <v>0</v>
      </c>
      <c r="V2">
        <v>0</v>
      </c>
      <c r="W2">
        <v>0</v>
      </c>
      <c r="X2">
        <v>1.8</v>
      </c>
      <c r="Y2">
        <v>0</v>
      </c>
      <c r="Z2">
        <v>1.1999999999999999E-3</v>
      </c>
      <c r="AA2">
        <v>0</v>
      </c>
      <c r="AB2">
        <v>0</v>
      </c>
      <c r="AC2">
        <v>0</v>
      </c>
      <c r="AD2">
        <v>1.8701000000000001</v>
      </c>
      <c r="AE2">
        <v>0.11418058</v>
      </c>
      <c r="AF2">
        <v>-8.0111920000000005E-4</v>
      </c>
      <c r="AG2">
        <v>0</v>
      </c>
      <c r="AH2">
        <v>0</v>
      </c>
      <c r="AI2">
        <v>0</v>
      </c>
      <c r="AJ2">
        <v>0</v>
      </c>
      <c r="AK2">
        <v>100</v>
      </c>
      <c r="AL2">
        <v>44</v>
      </c>
      <c r="AM2">
        <v>0.9</v>
      </c>
      <c r="AN2">
        <v>0.92</v>
      </c>
      <c r="AO2">
        <v>0.85</v>
      </c>
      <c r="AP2" t="s">
        <v>179</v>
      </c>
      <c r="AQ2" t="s">
        <v>180</v>
      </c>
      <c r="AR2" t="s">
        <v>181</v>
      </c>
      <c r="AT2">
        <v>1</v>
      </c>
      <c r="AU2" t="s">
        <v>182</v>
      </c>
      <c r="AV2">
        <v>1</v>
      </c>
      <c r="AW2" t="s">
        <v>183</v>
      </c>
      <c r="AX2">
        <v>1</v>
      </c>
      <c r="AY2" t="s">
        <v>184</v>
      </c>
      <c r="AZ2">
        <v>1</v>
      </c>
      <c r="BA2" t="s">
        <v>185</v>
      </c>
      <c r="BB2">
        <v>0</v>
      </c>
      <c r="BD2">
        <v>0</v>
      </c>
      <c r="BF2">
        <v>1</v>
      </c>
      <c r="BG2" t="s">
        <v>186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 t="s">
        <v>187</v>
      </c>
      <c r="BO2" t="s">
        <v>188</v>
      </c>
      <c r="BP2">
        <v>1</v>
      </c>
      <c r="BQ2">
        <v>1</v>
      </c>
      <c r="BR2" t="s">
        <v>189</v>
      </c>
      <c r="BS2" t="s">
        <v>190</v>
      </c>
      <c r="BT2" t="s">
        <v>191</v>
      </c>
      <c r="BU2" t="s">
        <v>192</v>
      </c>
      <c r="BV2" t="s">
        <v>193</v>
      </c>
      <c r="BW2" t="s">
        <v>194</v>
      </c>
      <c r="BX2" t="s">
        <v>195</v>
      </c>
      <c r="BY2" t="s">
        <v>196</v>
      </c>
      <c r="BZ2" t="s">
        <v>197</v>
      </c>
      <c r="CA2" t="s">
        <v>198</v>
      </c>
      <c r="CB2" t="s">
        <v>199</v>
      </c>
      <c r="CC2" t="s">
        <v>199</v>
      </c>
      <c r="CD2" t="s">
        <v>200</v>
      </c>
      <c r="CE2" t="s">
        <v>198</v>
      </c>
      <c r="CI2">
        <v>5</v>
      </c>
      <c r="CL2" t="s">
        <v>201</v>
      </c>
      <c r="CM2" t="s">
        <v>201</v>
      </c>
      <c r="CN2">
        <v>0</v>
      </c>
      <c r="CO2" t="s">
        <v>201</v>
      </c>
      <c r="CP2">
        <v>0</v>
      </c>
      <c r="CQ2" t="s">
        <v>202</v>
      </c>
      <c r="CR2">
        <v>0</v>
      </c>
      <c r="CS2" t="s">
        <v>203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30</v>
      </c>
      <c r="DH2">
        <v>60</v>
      </c>
      <c r="EM2" t="s">
        <v>204</v>
      </c>
      <c r="EN2" t="s">
        <v>205</v>
      </c>
      <c r="EO2" t="s">
        <v>206</v>
      </c>
      <c r="EP2" t="s">
        <v>207</v>
      </c>
      <c r="EQ2" t="s">
        <v>208</v>
      </c>
      <c r="ER2" t="s">
        <v>188</v>
      </c>
      <c r="ES2" t="s">
        <v>188</v>
      </c>
      <c r="ET2" t="s">
        <v>188</v>
      </c>
      <c r="EU2" t="s">
        <v>188</v>
      </c>
      <c r="EV2" t="s">
        <v>188</v>
      </c>
      <c r="EW2" t="s">
        <v>188</v>
      </c>
      <c r="EX2" t="s">
        <v>188</v>
      </c>
      <c r="EY2" t="s">
        <v>188</v>
      </c>
      <c r="EZ2" t="s">
        <v>188</v>
      </c>
      <c r="FA2" t="s">
        <v>188</v>
      </c>
      <c r="FB2" t="s">
        <v>188</v>
      </c>
      <c r="FC2" t="s">
        <v>188</v>
      </c>
      <c r="FD2" t="s">
        <v>188</v>
      </c>
      <c r="FE2" t="s">
        <v>188</v>
      </c>
      <c r="FF2" t="s">
        <v>188</v>
      </c>
      <c r="FG2" t="s">
        <v>188</v>
      </c>
      <c r="FH2" t="s">
        <v>188</v>
      </c>
      <c r="FI2" t="s">
        <v>188</v>
      </c>
      <c r="FJ2" t="s">
        <v>188</v>
      </c>
      <c r="FK2" t="s">
        <v>188</v>
      </c>
      <c r="FL2">
        <v>4</v>
      </c>
      <c r="FM2">
        <v>2</v>
      </c>
      <c r="FN2">
        <v>4</v>
      </c>
      <c r="FO2">
        <v>3</v>
      </c>
      <c r="FP2">
        <v>1</v>
      </c>
      <c r="FQ2" s="1">
        <v>46196.259943668978</v>
      </c>
      <c r="FR2" s="1">
        <v>46261.573158761574</v>
      </c>
    </row>
    <row r="3" spans="1:174" x14ac:dyDescent="0.3">
      <c r="A3">
        <v>2</v>
      </c>
      <c r="B3">
        <v>2</v>
      </c>
      <c r="C3" t="s">
        <v>209</v>
      </c>
      <c r="D3" t="s">
        <v>175</v>
      </c>
      <c r="E3" t="s">
        <v>210</v>
      </c>
      <c r="F3" t="s">
        <v>210</v>
      </c>
      <c r="G3">
        <v>1000</v>
      </c>
      <c r="H3">
        <v>480</v>
      </c>
      <c r="I3" t="s">
        <v>177</v>
      </c>
      <c r="J3" t="s">
        <v>178</v>
      </c>
      <c r="L3">
        <v>58</v>
      </c>
      <c r="M3">
        <v>0</v>
      </c>
      <c r="N3">
        <v>-4.7346938775510202E-4</v>
      </c>
      <c r="O3">
        <v>0</v>
      </c>
      <c r="P3">
        <v>0</v>
      </c>
      <c r="Q3">
        <v>0</v>
      </c>
      <c r="R3">
        <v>-46.618106139438098</v>
      </c>
      <c r="S3">
        <v>1.29864724245578</v>
      </c>
      <c r="T3">
        <v>-3.3298647242455798E-3</v>
      </c>
      <c r="U3">
        <v>0</v>
      </c>
      <c r="V3">
        <v>0</v>
      </c>
      <c r="W3">
        <v>0</v>
      </c>
      <c r="X3">
        <v>2.2000000000000002</v>
      </c>
      <c r="Y3">
        <v>0</v>
      </c>
      <c r="Z3" s="2">
        <v>4.5000000000000003E-5</v>
      </c>
      <c r="AA3">
        <v>0</v>
      </c>
      <c r="AB3">
        <v>0</v>
      </c>
      <c r="AC3">
        <v>0</v>
      </c>
      <c r="AD3">
        <v>9.2981999999999996</v>
      </c>
      <c r="AE3">
        <v>0.12834261999999999</v>
      </c>
      <c r="AF3">
        <v>-2.040423E-4</v>
      </c>
      <c r="AG3">
        <v>0</v>
      </c>
      <c r="AH3">
        <v>0</v>
      </c>
      <c r="AI3">
        <v>0</v>
      </c>
      <c r="AJ3">
        <v>0</v>
      </c>
      <c r="AK3">
        <v>350</v>
      </c>
      <c r="AL3">
        <v>195</v>
      </c>
      <c r="AM3">
        <v>0.88</v>
      </c>
      <c r="AN3">
        <v>0.9</v>
      </c>
      <c r="AO3">
        <v>0.82</v>
      </c>
      <c r="AP3" t="s">
        <v>179</v>
      </c>
      <c r="AQ3" t="s">
        <v>211</v>
      </c>
      <c r="AR3" t="s">
        <v>212</v>
      </c>
      <c r="AS3" t="s">
        <v>213</v>
      </c>
      <c r="AT3">
        <v>1</v>
      </c>
      <c r="AV3">
        <v>0</v>
      </c>
      <c r="AX3">
        <v>0</v>
      </c>
      <c r="AZ3">
        <v>0</v>
      </c>
      <c r="BA3" t="s">
        <v>185</v>
      </c>
      <c r="BB3">
        <v>0</v>
      </c>
      <c r="BD3">
        <v>0</v>
      </c>
      <c r="BF3">
        <v>1</v>
      </c>
      <c r="BG3" t="s">
        <v>214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 t="s">
        <v>194</v>
      </c>
      <c r="BO3" t="s">
        <v>188</v>
      </c>
      <c r="BP3">
        <v>1</v>
      </c>
      <c r="BQ3">
        <v>0</v>
      </c>
      <c r="BR3" t="s">
        <v>215</v>
      </c>
      <c r="BS3" t="s">
        <v>216</v>
      </c>
      <c r="BT3" t="s">
        <v>191</v>
      </c>
      <c r="BU3" t="s">
        <v>217</v>
      </c>
      <c r="BV3" t="s">
        <v>193</v>
      </c>
      <c r="BW3" t="s">
        <v>194</v>
      </c>
      <c r="BX3" t="s">
        <v>195</v>
      </c>
      <c r="BY3" t="s">
        <v>218</v>
      </c>
      <c r="BZ3" t="s">
        <v>219</v>
      </c>
      <c r="CA3" t="s">
        <v>198</v>
      </c>
      <c r="CB3" t="s">
        <v>199</v>
      </c>
      <c r="CC3" t="s">
        <v>199</v>
      </c>
      <c r="CD3" t="s">
        <v>200</v>
      </c>
      <c r="CE3" t="s">
        <v>198</v>
      </c>
      <c r="CI3">
        <v>5</v>
      </c>
      <c r="CL3" t="s">
        <v>201</v>
      </c>
      <c r="CM3" t="s">
        <v>201</v>
      </c>
      <c r="CN3">
        <v>0</v>
      </c>
      <c r="CO3" t="s">
        <v>201</v>
      </c>
      <c r="CP3">
        <v>0</v>
      </c>
      <c r="CQ3" t="s">
        <v>202</v>
      </c>
      <c r="CR3">
        <v>0</v>
      </c>
      <c r="CS3" t="s">
        <v>203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30</v>
      </c>
      <c r="DH3">
        <v>60</v>
      </c>
      <c r="EM3" t="s">
        <v>204</v>
      </c>
      <c r="EN3" t="s">
        <v>205</v>
      </c>
      <c r="EO3" t="s">
        <v>206</v>
      </c>
      <c r="EP3" t="s">
        <v>207</v>
      </c>
      <c r="EQ3" t="s">
        <v>208</v>
      </c>
      <c r="ER3" t="s">
        <v>188</v>
      </c>
      <c r="ES3" t="s">
        <v>188</v>
      </c>
      <c r="ET3" t="s">
        <v>188</v>
      </c>
      <c r="EU3" t="s">
        <v>188</v>
      </c>
      <c r="EV3" t="s">
        <v>188</v>
      </c>
      <c r="EW3" t="s">
        <v>188</v>
      </c>
      <c r="EX3" t="s">
        <v>188</v>
      </c>
      <c r="EY3" t="s">
        <v>188</v>
      </c>
      <c r="EZ3" t="s">
        <v>188</v>
      </c>
      <c r="FA3" t="s">
        <v>188</v>
      </c>
      <c r="FB3" t="s">
        <v>188</v>
      </c>
      <c r="FC3" t="s">
        <v>188</v>
      </c>
      <c r="FD3" t="s">
        <v>188</v>
      </c>
      <c r="FE3" t="s">
        <v>188</v>
      </c>
      <c r="FF3" t="s">
        <v>188</v>
      </c>
      <c r="FG3" t="s">
        <v>188</v>
      </c>
      <c r="FH3" t="s">
        <v>188</v>
      </c>
      <c r="FI3" t="s">
        <v>188</v>
      </c>
      <c r="FJ3" t="s">
        <v>188</v>
      </c>
      <c r="FK3" t="s">
        <v>188</v>
      </c>
      <c r="FL3">
        <v>3</v>
      </c>
      <c r="FM3">
        <v>3</v>
      </c>
      <c r="FN3">
        <v>3</v>
      </c>
      <c r="FO3">
        <v>2</v>
      </c>
      <c r="FP3">
        <v>2</v>
      </c>
      <c r="FQ3" s="1">
        <v>46196.259943668978</v>
      </c>
      <c r="FR3" s="1">
        <v>46265.779213807873</v>
      </c>
    </row>
    <row r="4" spans="1:174" x14ac:dyDescent="0.3">
      <c r="A4">
        <v>3</v>
      </c>
      <c r="B4">
        <v>2</v>
      </c>
      <c r="C4" t="s">
        <v>220</v>
      </c>
      <c r="D4" t="s">
        <v>175</v>
      </c>
      <c r="E4" t="s">
        <v>221</v>
      </c>
      <c r="F4" t="s">
        <v>221</v>
      </c>
      <c r="G4">
        <v>750</v>
      </c>
      <c r="H4">
        <v>610</v>
      </c>
      <c r="I4" t="s">
        <v>177</v>
      </c>
      <c r="J4" t="s">
        <v>178</v>
      </c>
      <c r="L4">
        <v>72</v>
      </c>
      <c r="M4">
        <v>0</v>
      </c>
      <c r="N4">
        <v>-1.125E-4</v>
      </c>
      <c r="O4">
        <v>0</v>
      </c>
      <c r="P4">
        <v>0</v>
      </c>
      <c r="Q4">
        <v>0</v>
      </c>
      <c r="R4">
        <v>-40.493827160493801</v>
      </c>
      <c r="S4">
        <v>0.55679012345679002</v>
      </c>
      <c r="T4">
        <v>-6.3271604938271598E-4</v>
      </c>
      <c r="U4">
        <v>0</v>
      </c>
      <c r="V4">
        <v>0</v>
      </c>
      <c r="W4">
        <v>0</v>
      </c>
      <c r="X4">
        <v>2.8</v>
      </c>
      <c r="Y4">
        <v>0</v>
      </c>
      <c r="Z4" s="2">
        <v>2.5000000000000001E-5</v>
      </c>
      <c r="AA4">
        <v>0</v>
      </c>
      <c r="AB4">
        <v>0</v>
      </c>
      <c r="AC4">
        <v>0</v>
      </c>
      <c r="AD4">
        <v>25.701000000000001</v>
      </c>
      <c r="AE4">
        <v>0.15692260999999999</v>
      </c>
      <c r="AF4">
        <v>-1.1010079999999999E-4</v>
      </c>
      <c r="AG4">
        <v>0</v>
      </c>
      <c r="AH4">
        <v>0</v>
      </c>
      <c r="AI4">
        <v>0</v>
      </c>
      <c r="AJ4">
        <v>0</v>
      </c>
      <c r="AK4">
        <v>800</v>
      </c>
      <c r="AL4">
        <v>440</v>
      </c>
      <c r="AM4">
        <v>0.87</v>
      </c>
      <c r="AN4">
        <v>0.9</v>
      </c>
      <c r="AO4">
        <v>0.8</v>
      </c>
      <c r="AP4" t="s">
        <v>179</v>
      </c>
      <c r="AQ4" t="s">
        <v>222</v>
      </c>
      <c r="AR4" t="s">
        <v>223</v>
      </c>
      <c r="AT4">
        <v>1</v>
      </c>
      <c r="AV4">
        <v>0</v>
      </c>
      <c r="AX4">
        <v>0</v>
      </c>
      <c r="AZ4">
        <v>0</v>
      </c>
      <c r="BA4" t="s">
        <v>185</v>
      </c>
      <c r="BB4">
        <v>0</v>
      </c>
      <c r="BD4">
        <v>0</v>
      </c>
      <c r="BF4">
        <v>1</v>
      </c>
      <c r="BG4" t="s">
        <v>224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 t="s">
        <v>194</v>
      </c>
      <c r="BO4" t="s">
        <v>188</v>
      </c>
      <c r="BP4">
        <v>1</v>
      </c>
      <c r="BQ4">
        <v>1</v>
      </c>
      <c r="BS4" t="s">
        <v>216</v>
      </c>
      <c r="CA4" t="s">
        <v>198</v>
      </c>
      <c r="CB4" t="s">
        <v>199</v>
      </c>
      <c r="CC4" t="s">
        <v>199</v>
      </c>
      <c r="CD4" t="s">
        <v>200</v>
      </c>
      <c r="CE4" t="s">
        <v>198</v>
      </c>
      <c r="CI4">
        <v>5</v>
      </c>
      <c r="CN4">
        <v>0</v>
      </c>
      <c r="CP4">
        <v>0</v>
      </c>
      <c r="CR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30</v>
      </c>
      <c r="DH4">
        <v>60</v>
      </c>
      <c r="EM4" t="s">
        <v>204</v>
      </c>
      <c r="EN4" t="s">
        <v>205</v>
      </c>
      <c r="EO4" t="s">
        <v>206</v>
      </c>
      <c r="EP4" t="s">
        <v>207</v>
      </c>
      <c r="EQ4" t="s">
        <v>208</v>
      </c>
      <c r="ER4" t="s">
        <v>188</v>
      </c>
      <c r="ES4" t="s">
        <v>188</v>
      </c>
      <c r="ET4" t="s">
        <v>188</v>
      </c>
      <c r="EU4" t="s">
        <v>188</v>
      </c>
      <c r="EV4" t="s">
        <v>188</v>
      </c>
      <c r="EW4" t="s">
        <v>188</v>
      </c>
      <c r="EX4" t="s">
        <v>188</v>
      </c>
      <c r="EY4" t="s">
        <v>188</v>
      </c>
      <c r="EZ4" t="s">
        <v>188</v>
      </c>
      <c r="FA4" t="s">
        <v>188</v>
      </c>
      <c r="FB4" t="s">
        <v>188</v>
      </c>
      <c r="FC4" t="s">
        <v>188</v>
      </c>
      <c r="FD4" t="s">
        <v>188</v>
      </c>
      <c r="FE4" t="s">
        <v>188</v>
      </c>
      <c r="FF4" t="s">
        <v>188</v>
      </c>
      <c r="FG4" t="s">
        <v>188</v>
      </c>
      <c r="FH4" t="s">
        <v>188</v>
      </c>
      <c r="FI4" t="s">
        <v>188</v>
      </c>
      <c r="FJ4" t="s">
        <v>188</v>
      </c>
      <c r="FK4" t="s">
        <v>188</v>
      </c>
      <c r="FL4">
        <v>3</v>
      </c>
      <c r="FM4">
        <v>3</v>
      </c>
      <c r="FN4">
        <v>3</v>
      </c>
      <c r="FO4">
        <v>2</v>
      </c>
      <c r="FP4">
        <v>2</v>
      </c>
      <c r="FQ4" s="1">
        <v>46196.259943668978</v>
      </c>
      <c r="FR4" s="1">
        <v>46196.259943668978</v>
      </c>
    </row>
    <row r="5" spans="1:174" x14ac:dyDescent="0.3">
      <c r="A5">
        <v>4</v>
      </c>
      <c r="B5">
        <v>2</v>
      </c>
      <c r="C5" t="s">
        <v>225</v>
      </c>
      <c r="D5" t="s">
        <v>175</v>
      </c>
      <c r="E5" t="s">
        <v>226</v>
      </c>
      <c r="F5" t="s">
        <v>226</v>
      </c>
      <c r="G5">
        <v>600</v>
      </c>
      <c r="H5">
        <v>760</v>
      </c>
      <c r="I5" t="s">
        <v>177</v>
      </c>
      <c r="J5" t="s">
        <v>178</v>
      </c>
      <c r="L5">
        <v>82</v>
      </c>
      <c r="M5">
        <v>0</v>
      </c>
      <c r="N5" s="2">
        <v>-3.2031250000000003E-5</v>
      </c>
      <c r="O5">
        <v>0</v>
      </c>
      <c r="P5">
        <v>0</v>
      </c>
      <c r="Q5">
        <v>0</v>
      </c>
      <c r="R5">
        <v>-39.506172839506199</v>
      </c>
      <c r="S5">
        <v>0.27160493827160498</v>
      </c>
      <c r="T5">
        <v>-1.5432098765432101E-4</v>
      </c>
      <c r="U5">
        <v>0</v>
      </c>
      <c r="V5">
        <v>0</v>
      </c>
      <c r="W5">
        <v>0</v>
      </c>
      <c r="X5">
        <v>3.2</v>
      </c>
      <c r="Y5">
        <v>0</v>
      </c>
      <c r="Z5" s="2">
        <v>1.2E-5</v>
      </c>
      <c r="AA5">
        <v>0</v>
      </c>
      <c r="AB5">
        <v>0</v>
      </c>
      <c r="AC5">
        <v>0</v>
      </c>
      <c r="AD5">
        <v>60.0047</v>
      </c>
      <c r="AE5">
        <v>0.18318535999999999</v>
      </c>
      <c r="AF5" s="2">
        <v>-6.4263699999999999E-5</v>
      </c>
      <c r="AG5">
        <v>0</v>
      </c>
      <c r="AH5">
        <v>0</v>
      </c>
      <c r="AI5">
        <v>0</v>
      </c>
      <c r="AJ5">
        <v>0</v>
      </c>
      <c r="AK5">
        <v>1600</v>
      </c>
      <c r="AL5">
        <v>880</v>
      </c>
      <c r="AM5">
        <v>0.86</v>
      </c>
      <c r="AN5">
        <v>0.89</v>
      </c>
      <c r="AO5">
        <v>0.78</v>
      </c>
      <c r="AP5" t="s">
        <v>179</v>
      </c>
      <c r="AQ5" t="s">
        <v>227</v>
      </c>
      <c r="AR5" t="s">
        <v>228</v>
      </c>
      <c r="AT5">
        <v>1</v>
      </c>
      <c r="AV5">
        <v>0</v>
      </c>
      <c r="AX5">
        <v>0</v>
      </c>
      <c r="AZ5">
        <v>0</v>
      </c>
      <c r="BA5" t="s">
        <v>185</v>
      </c>
      <c r="BB5">
        <v>0</v>
      </c>
      <c r="BD5">
        <v>0</v>
      </c>
      <c r="BF5">
        <v>1</v>
      </c>
      <c r="BG5" t="s">
        <v>229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 t="s">
        <v>194</v>
      </c>
      <c r="BO5" t="s">
        <v>188</v>
      </c>
      <c r="BP5">
        <v>1</v>
      </c>
      <c r="BQ5">
        <v>1</v>
      </c>
      <c r="BS5" t="s">
        <v>216</v>
      </c>
      <c r="CA5" t="s">
        <v>198</v>
      </c>
      <c r="CB5" t="s">
        <v>199</v>
      </c>
      <c r="CC5" t="s">
        <v>199</v>
      </c>
      <c r="CD5" t="s">
        <v>200</v>
      </c>
      <c r="CE5" t="s">
        <v>198</v>
      </c>
      <c r="CI5">
        <v>5</v>
      </c>
      <c r="CN5">
        <v>0</v>
      </c>
      <c r="CP5">
        <v>0</v>
      </c>
      <c r="CR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30</v>
      </c>
      <c r="DH5">
        <v>60</v>
      </c>
      <c r="EM5" t="s">
        <v>204</v>
      </c>
      <c r="EN5" t="s">
        <v>205</v>
      </c>
      <c r="EO5" t="s">
        <v>206</v>
      </c>
      <c r="EP5" t="s">
        <v>207</v>
      </c>
      <c r="EQ5" t="s">
        <v>208</v>
      </c>
      <c r="ER5" t="s">
        <v>188</v>
      </c>
      <c r="ES5" t="s">
        <v>188</v>
      </c>
      <c r="ET5" t="s">
        <v>188</v>
      </c>
      <c r="EU5" t="s">
        <v>188</v>
      </c>
      <c r="EV5" t="s">
        <v>188</v>
      </c>
      <c r="EW5" t="s">
        <v>188</v>
      </c>
      <c r="EX5" t="s">
        <v>188</v>
      </c>
      <c r="EY5" t="s">
        <v>188</v>
      </c>
      <c r="EZ5" t="s">
        <v>188</v>
      </c>
      <c r="FA5" t="s">
        <v>188</v>
      </c>
      <c r="FB5" t="s">
        <v>188</v>
      </c>
      <c r="FC5" t="s">
        <v>188</v>
      </c>
      <c r="FD5" t="s">
        <v>188</v>
      </c>
      <c r="FE5" t="s">
        <v>188</v>
      </c>
      <c r="FF5" t="s">
        <v>188</v>
      </c>
      <c r="FG5" t="s">
        <v>188</v>
      </c>
      <c r="FH5" t="s">
        <v>188</v>
      </c>
      <c r="FI5" t="s">
        <v>188</v>
      </c>
      <c r="FJ5" t="s">
        <v>188</v>
      </c>
      <c r="FK5" t="s">
        <v>188</v>
      </c>
      <c r="FL5">
        <v>3</v>
      </c>
      <c r="FM5">
        <v>3</v>
      </c>
      <c r="FN5">
        <v>3</v>
      </c>
      <c r="FO5">
        <v>2</v>
      </c>
      <c r="FP5">
        <v>2</v>
      </c>
      <c r="FQ5" s="1">
        <v>46196.259943668978</v>
      </c>
      <c r="FR5" s="1">
        <v>46196.259943668978</v>
      </c>
    </row>
    <row r="6" spans="1:174" x14ac:dyDescent="0.3">
      <c r="A6">
        <v>5</v>
      </c>
      <c r="B6">
        <v>2</v>
      </c>
      <c r="C6" t="s">
        <v>230</v>
      </c>
      <c r="D6" t="s">
        <v>231</v>
      </c>
      <c r="E6" t="s">
        <v>232</v>
      </c>
      <c r="F6" t="s">
        <v>233</v>
      </c>
      <c r="G6">
        <v>2900</v>
      </c>
      <c r="H6">
        <v>200</v>
      </c>
      <c r="I6" t="s">
        <v>177</v>
      </c>
      <c r="J6" t="s">
        <v>178</v>
      </c>
      <c r="L6">
        <v>55</v>
      </c>
      <c r="M6">
        <v>0</v>
      </c>
      <c r="N6">
        <v>-0.11363636363636399</v>
      </c>
      <c r="O6">
        <v>0</v>
      </c>
      <c r="P6">
        <v>0</v>
      </c>
      <c r="Q6">
        <v>0</v>
      </c>
      <c r="R6">
        <v>-29.92</v>
      </c>
      <c r="S6">
        <v>16.32</v>
      </c>
      <c r="T6">
        <v>-0.68</v>
      </c>
      <c r="U6">
        <v>0</v>
      </c>
      <c r="V6">
        <v>0</v>
      </c>
      <c r="W6">
        <v>0</v>
      </c>
      <c r="X6">
        <v>1.2</v>
      </c>
      <c r="Y6">
        <v>0</v>
      </c>
      <c r="Z6">
        <v>0.04</v>
      </c>
      <c r="AA6">
        <v>0</v>
      </c>
      <c r="AB6">
        <v>0</v>
      </c>
      <c r="AC6">
        <v>0</v>
      </c>
      <c r="AD6">
        <v>0.65029999999999999</v>
      </c>
      <c r="AE6">
        <v>0.14539901999999999</v>
      </c>
      <c r="AF6">
        <v>-3.7299845000000002E-3</v>
      </c>
      <c r="AG6">
        <v>0</v>
      </c>
      <c r="AH6">
        <v>0</v>
      </c>
      <c r="AI6">
        <v>0</v>
      </c>
      <c r="AJ6">
        <v>0</v>
      </c>
      <c r="AK6">
        <v>22</v>
      </c>
      <c r="AL6">
        <v>12</v>
      </c>
      <c r="AM6">
        <v>1</v>
      </c>
      <c r="AN6">
        <v>1</v>
      </c>
      <c r="AO6">
        <v>1</v>
      </c>
      <c r="AP6" t="s">
        <v>234</v>
      </c>
      <c r="AQ6" t="s">
        <v>235</v>
      </c>
      <c r="AR6" t="s">
        <v>236</v>
      </c>
      <c r="AS6" t="s">
        <v>237</v>
      </c>
      <c r="AT6">
        <v>1</v>
      </c>
      <c r="AV6">
        <v>0</v>
      </c>
      <c r="AX6">
        <v>0</v>
      </c>
      <c r="AZ6">
        <v>0</v>
      </c>
      <c r="BA6" t="s">
        <v>185</v>
      </c>
      <c r="BB6">
        <v>0</v>
      </c>
      <c r="BD6">
        <v>0</v>
      </c>
      <c r="BF6">
        <v>1</v>
      </c>
      <c r="BG6" t="s">
        <v>238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 t="s">
        <v>194</v>
      </c>
      <c r="BO6" t="s">
        <v>188</v>
      </c>
      <c r="BP6">
        <v>1</v>
      </c>
      <c r="BQ6">
        <v>1</v>
      </c>
      <c r="BS6" t="s">
        <v>216</v>
      </c>
      <c r="CA6" t="s">
        <v>198</v>
      </c>
      <c r="CB6" t="s">
        <v>199</v>
      </c>
      <c r="CC6" t="s">
        <v>199</v>
      </c>
      <c r="CD6" t="s">
        <v>200</v>
      </c>
      <c r="CE6" t="s">
        <v>198</v>
      </c>
      <c r="CI6">
        <v>5</v>
      </c>
      <c r="CN6">
        <v>0</v>
      </c>
      <c r="CP6">
        <v>0</v>
      </c>
      <c r="CR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30</v>
      </c>
      <c r="DH6">
        <v>60</v>
      </c>
      <c r="EM6" t="s">
        <v>204</v>
      </c>
      <c r="EN6" t="s">
        <v>205</v>
      </c>
      <c r="EO6" t="s">
        <v>206</v>
      </c>
      <c r="EP6" t="s">
        <v>207</v>
      </c>
      <c r="EQ6" t="s">
        <v>208</v>
      </c>
      <c r="ER6" t="s">
        <v>188</v>
      </c>
      <c r="ES6" t="s">
        <v>188</v>
      </c>
      <c r="ET6" t="s">
        <v>188</v>
      </c>
      <c r="EU6" t="s">
        <v>188</v>
      </c>
      <c r="EV6" t="s">
        <v>188</v>
      </c>
      <c r="EW6" t="s">
        <v>188</v>
      </c>
      <c r="EX6" t="s">
        <v>188</v>
      </c>
      <c r="EY6" t="s">
        <v>188</v>
      </c>
      <c r="EZ6" t="s">
        <v>188</v>
      </c>
      <c r="FA6" t="s">
        <v>188</v>
      </c>
      <c r="FB6" t="s">
        <v>188</v>
      </c>
      <c r="FC6" t="s">
        <v>188</v>
      </c>
      <c r="FD6" t="s">
        <v>188</v>
      </c>
      <c r="FE6" t="s">
        <v>188</v>
      </c>
      <c r="FF6" t="s">
        <v>188</v>
      </c>
      <c r="FG6" t="s">
        <v>188</v>
      </c>
      <c r="FH6" t="s">
        <v>188</v>
      </c>
      <c r="FI6" t="s">
        <v>188</v>
      </c>
      <c r="FJ6" t="s">
        <v>188</v>
      </c>
      <c r="FK6" t="s">
        <v>188</v>
      </c>
      <c r="FL6">
        <v>3</v>
      </c>
      <c r="FM6">
        <v>3</v>
      </c>
      <c r="FN6">
        <v>3</v>
      </c>
      <c r="FO6">
        <v>2</v>
      </c>
      <c r="FP6">
        <v>2</v>
      </c>
      <c r="FQ6" s="1">
        <v>46196.259943668978</v>
      </c>
      <c r="FR6" s="1">
        <v>46258.28040625</v>
      </c>
    </row>
    <row r="7" spans="1:174" x14ac:dyDescent="0.3">
      <c r="A7">
        <v>6</v>
      </c>
      <c r="B7">
        <v>2</v>
      </c>
      <c r="C7" t="s">
        <v>239</v>
      </c>
      <c r="D7" t="s">
        <v>231</v>
      </c>
      <c r="E7" t="s">
        <v>240</v>
      </c>
      <c r="F7" t="s">
        <v>241</v>
      </c>
      <c r="G7">
        <v>1450</v>
      </c>
      <c r="H7">
        <v>315</v>
      </c>
      <c r="I7" t="s">
        <v>177</v>
      </c>
      <c r="J7" t="s">
        <v>242</v>
      </c>
      <c r="L7">
        <v>68</v>
      </c>
      <c r="M7">
        <v>0</v>
      </c>
      <c r="N7">
        <v>-1.088E-3</v>
      </c>
      <c r="O7">
        <v>0</v>
      </c>
      <c r="P7">
        <v>0</v>
      </c>
      <c r="Q7">
        <v>0</v>
      </c>
      <c r="R7">
        <v>-40.417729591836697</v>
      </c>
      <c r="S7">
        <v>1.71619897959184</v>
      </c>
      <c r="T7">
        <v>-6.21811224489796E-3</v>
      </c>
      <c r="U7">
        <v>0</v>
      </c>
      <c r="V7">
        <v>0</v>
      </c>
      <c r="W7">
        <v>0</v>
      </c>
      <c r="X7">
        <v>1.8</v>
      </c>
      <c r="Y7">
        <v>0</v>
      </c>
      <c r="Z7" s="2">
        <v>9.5000000000000005E-5</v>
      </c>
      <c r="AA7">
        <v>0</v>
      </c>
      <c r="AB7">
        <v>0</v>
      </c>
      <c r="AC7">
        <v>0</v>
      </c>
      <c r="AD7">
        <v>7.9781000000000004</v>
      </c>
      <c r="AE7">
        <v>0.15539650999999999</v>
      </c>
      <c r="AF7">
        <v>-3.480523E-4</v>
      </c>
      <c r="AG7">
        <v>0</v>
      </c>
      <c r="AH7">
        <v>0</v>
      </c>
      <c r="AI7">
        <v>0</v>
      </c>
      <c r="AJ7">
        <v>0</v>
      </c>
      <c r="AK7">
        <v>250</v>
      </c>
      <c r="AL7">
        <v>138</v>
      </c>
      <c r="AM7">
        <v>1</v>
      </c>
      <c r="AN7">
        <v>1</v>
      </c>
      <c r="AO7">
        <v>1</v>
      </c>
      <c r="AP7" t="s">
        <v>234</v>
      </c>
      <c r="AQ7" t="s">
        <v>243</v>
      </c>
      <c r="AR7" t="s">
        <v>244</v>
      </c>
      <c r="AS7" t="s">
        <v>245</v>
      </c>
      <c r="AT7">
        <v>1</v>
      </c>
      <c r="AV7">
        <v>0</v>
      </c>
      <c r="AX7">
        <v>0</v>
      </c>
      <c r="AZ7">
        <v>0</v>
      </c>
      <c r="BA7" t="s">
        <v>185</v>
      </c>
      <c r="BB7">
        <v>0</v>
      </c>
      <c r="BD7">
        <v>0</v>
      </c>
      <c r="BE7" t="s">
        <v>246</v>
      </c>
      <c r="BF7">
        <v>1</v>
      </c>
      <c r="BG7" t="s">
        <v>247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 t="s">
        <v>194</v>
      </c>
      <c r="BO7" t="s">
        <v>188</v>
      </c>
      <c r="BP7">
        <v>1</v>
      </c>
      <c r="BQ7">
        <v>1</v>
      </c>
      <c r="BR7" t="s">
        <v>248</v>
      </c>
      <c r="BS7" t="s">
        <v>249</v>
      </c>
      <c r="BT7" t="s">
        <v>250</v>
      </c>
      <c r="BU7" t="s">
        <v>251</v>
      </c>
      <c r="BV7" t="s">
        <v>252</v>
      </c>
      <c r="BW7" t="s">
        <v>253</v>
      </c>
      <c r="BX7" t="s">
        <v>254</v>
      </c>
      <c r="BY7" t="s">
        <v>255</v>
      </c>
      <c r="BZ7" t="s">
        <v>256</v>
      </c>
      <c r="CA7" t="s">
        <v>198</v>
      </c>
      <c r="CB7" t="s">
        <v>199</v>
      </c>
      <c r="CC7" t="s">
        <v>199</v>
      </c>
      <c r="CD7" t="s">
        <v>200</v>
      </c>
      <c r="CE7" t="s">
        <v>198</v>
      </c>
      <c r="CI7">
        <v>5</v>
      </c>
      <c r="CN7">
        <v>0</v>
      </c>
      <c r="CP7">
        <v>0</v>
      </c>
      <c r="CR7">
        <v>0</v>
      </c>
      <c r="CV7">
        <v>0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30</v>
      </c>
      <c r="DH7">
        <v>60</v>
      </c>
      <c r="EM7" t="s">
        <v>204</v>
      </c>
      <c r="EN7" t="s">
        <v>205</v>
      </c>
      <c r="EO7" t="s">
        <v>206</v>
      </c>
      <c r="EP7" t="s">
        <v>207</v>
      </c>
      <c r="EQ7" t="s">
        <v>208</v>
      </c>
      <c r="ER7" t="s">
        <v>188</v>
      </c>
      <c r="ES7" t="s">
        <v>188</v>
      </c>
      <c r="ET7" t="s">
        <v>188</v>
      </c>
      <c r="EU7" t="s">
        <v>188</v>
      </c>
      <c r="EV7" t="s">
        <v>188</v>
      </c>
      <c r="EW7" t="s">
        <v>188</v>
      </c>
      <c r="EX7" t="s">
        <v>188</v>
      </c>
      <c r="EY7" t="s">
        <v>188</v>
      </c>
      <c r="EZ7" t="s">
        <v>188</v>
      </c>
      <c r="FA7" t="s">
        <v>188</v>
      </c>
      <c r="FB7" t="s">
        <v>188</v>
      </c>
      <c r="FC7" t="s">
        <v>188</v>
      </c>
      <c r="FD7" t="s">
        <v>188</v>
      </c>
      <c r="FE7" t="s">
        <v>188</v>
      </c>
      <c r="FF7" t="s">
        <v>188</v>
      </c>
      <c r="FG7" t="s">
        <v>188</v>
      </c>
      <c r="FH7" t="s">
        <v>188</v>
      </c>
      <c r="FI7" t="s">
        <v>188</v>
      </c>
      <c r="FJ7" t="s">
        <v>188</v>
      </c>
      <c r="FK7" t="s">
        <v>188</v>
      </c>
      <c r="FL7">
        <v>3</v>
      </c>
      <c r="FM7">
        <v>3</v>
      </c>
      <c r="FN7">
        <v>3</v>
      </c>
      <c r="FO7">
        <v>2</v>
      </c>
      <c r="FP7">
        <v>2</v>
      </c>
      <c r="FQ7" s="1">
        <v>46196.259943668978</v>
      </c>
      <c r="FR7" s="1">
        <v>46263.807475034722</v>
      </c>
    </row>
    <row r="8" spans="1:174" x14ac:dyDescent="0.3">
      <c r="A8">
        <v>7</v>
      </c>
      <c r="B8">
        <v>2</v>
      </c>
      <c r="C8" t="s">
        <v>257</v>
      </c>
      <c r="D8" t="s">
        <v>258</v>
      </c>
      <c r="E8" t="s">
        <v>259</v>
      </c>
      <c r="F8" t="s">
        <v>260</v>
      </c>
      <c r="G8">
        <v>2900</v>
      </c>
      <c r="H8">
        <v>190</v>
      </c>
      <c r="I8" t="s">
        <v>177</v>
      </c>
      <c r="J8" t="s">
        <v>178</v>
      </c>
      <c r="L8">
        <v>30</v>
      </c>
      <c r="M8">
        <v>0</v>
      </c>
      <c r="N8">
        <v>-0.1171875</v>
      </c>
      <c r="O8">
        <v>0</v>
      </c>
      <c r="P8">
        <v>0</v>
      </c>
      <c r="Q8">
        <v>0</v>
      </c>
      <c r="R8">
        <v>-40.4897959183673</v>
      </c>
      <c r="S8">
        <v>22.775510204081598</v>
      </c>
      <c r="T8">
        <v>-1.2653061224489801</v>
      </c>
      <c r="U8">
        <v>0</v>
      </c>
      <c r="V8">
        <v>0</v>
      </c>
      <c r="W8">
        <v>0</v>
      </c>
      <c r="X8">
        <v>1</v>
      </c>
      <c r="Y8">
        <v>0</v>
      </c>
      <c r="Z8">
        <v>0.1</v>
      </c>
      <c r="AA8">
        <v>0</v>
      </c>
      <c r="AB8">
        <v>0</v>
      </c>
      <c r="AC8">
        <v>0</v>
      </c>
      <c r="AD8">
        <v>0.28389999999999999</v>
      </c>
      <c r="AE8">
        <v>8.5024799999999998E-2</v>
      </c>
      <c r="AF8">
        <v>-2.9374398999999999E-3</v>
      </c>
      <c r="AG8">
        <v>0</v>
      </c>
      <c r="AH8">
        <v>0</v>
      </c>
      <c r="AI8">
        <v>0</v>
      </c>
      <c r="AJ8">
        <v>0</v>
      </c>
      <c r="AK8">
        <v>16</v>
      </c>
      <c r="AL8">
        <v>9</v>
      </c>
      <c r="AM8">
        <v>1</v>
      </c>
      <c r="AN8">
        <v>1</v>
      </c>
      <c r="AO8">
        <v>1</v>
      </c>
      <c r="AP8" t="s">
        <v>234</v>
      </c>
      <c r="AQ8" t="s">
        <v>261</v>
      </c>
      <c r="AR8" t="s">
        <v>262</v>
      </c>
      <c r="AS8" t="s">
        <v>213</v>
      </c>
      <c r="AT8">
        <v>1</v>
      </c>
      <c r="AV8">
        <v>0</v>
      </c>
      <c r="AX8">
        <v>0</v>
      </c>
      <c r="AZ8">
        <v>0</v>
      </c>
      <c r="BA8" t="s">
        <v>185</v>
      </c>
      <c r="BB8">
        <v>0</v>
      </c>
      <c r="BD8">
        <v>0</v>
      </c>
      <c r="BF8">
        <v>1</v>
      </c>
      <c r="BG8" t="s">
        <v>263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 t="s">
        <v>194</v>
      </c>
      <c r="BO8" t="s">
        <v>188</v>
      </c>
      <c r="BP8">
        <v>1</v>
      </c>
      <c r="BQ8">
        <v>1</v>
      </c>
      <c r="BR8" t="s">
        <v>264</v>
      </c>
      <c r="BS8" t="s">
        <v>265</v>
      </c>
      <c r="BT8" t="s">
        <v>191</v>
      </c>
      <c r="BU8" t="s">
        <v>266</v>
      </c>
      <c r="BV8" t="s">
        <v>193</v>
      </c>
      <c r="BW8" t="s">
        <v>194</v>
      </c>
      <c r="BX8" t="s">
        <v>195</v>
      </c>
      <c r="BY8" t="s">
        <v>267</v>
      </c>
      <c r="BZ8" t="s">
        <v>268</v>
      </c>
      <c r="CA8" t="s">
        <v>198</v>
      </c>
      <c r="CB8" t="s">
        <v>199</v>
      </c>
      <c r="CC8" t="s">
        <v>199</v>
      </c>
      <c r="CD8" t="s">
        <v>200</v>
      </c>
      <c r="CE8" t="s">
        <v>198</v>
      </c>
      <c r="CI8">
        <v>5</v>
      </c>
      <c r="CL8" t="s">
        <v>201</v>
      </c>
      <c r="CM8" t="s">
        <v>201</v>
      </c>
      <c r="CN8">
        <v>0</v>
      </c>
      <c r="CO8" t="s">
        <v>201</v>
      </c>
      <c r="CP8">
        <v>0</v>
      </c>
      <c r="CQ8" t="s">
        <v>202</v>
      </c>
      <c r="CR8">
        <v>0</v>
      </c>
      <c r="CS8" t="s">
        <v>203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30</v>
      </c>
      <c r="DH8">
        <v>60</v>
      </c>
      <c r="DI8" t="s">
        <v>269</v>
      </c>
      <c r="DJ8" t="s">
        <v>270</v>
      </c>
      <c r="DK8">
        <v>6</v>
      </c>
      <c r="DM8" t="s">
        <v>271</v>
      </c>
      <c r="EM8" t="s">
        <v>204</v>
      </c>
      <c r="EN8" t="s">
        <v>205</v>
      </c>
      <c r="EO8" t="s">
        <v>206</v>
      </c>
      <c r="EP8" t="s">
        <v>207</v>
      </c>
      <c r="EQ8" t="s">
        <v>208</v>
      </c>
      <c r="ER8" t="s">
        <v>188</v>
      </c>
      <c r="ES8" t="s">
        <v>188</v>
      </c>
      <c r="ET8" t="s">
        <v>188</v>
      </c>
      <c r="EU8" t="s">
        <v>188</v>
      </c>
      <c r="EV8" t="s">
        <v>188</v>
      </c>
      <c r="EW8" t="s">
        <v>188</v>
      </c>
      <c r="EX8" t="s">
        <v>188</v>
      </c>
      <c r="EY8" t="s">
        <v>188</v>
      </c>
      <c r="EZ8" t="s">
        <v>188</v>
      </c>
      <c r="FA8" t="s">
        <v>188</v>
      </c>
      <c r="FB8" t="s">
        <v>188</v>
      </c>
      <c r="FC8" t="s">
        <v>188</v>
      </c>
      <c r="FD8" t="s">
        <v>188</v>
      </c>
      <c r="FE8" t="s">
        <v>188</v>
      </c>
      <c r="FF8" t="s">
        <v>188</v>
      </c>
      <c r="FG8" t="s">
        <v>188</v>
      </c>
      <c r="FH8" t="s">
        <v>188</v>
      </c>
      <c r="FI8" t="s">
        <v>188</v>
      </c>
      <c r="FJ8" t="s">
        <v>188</v>
      </c>
      <c r="FK8" t="s">
        <v>188</v>
      </c>
      <c r="FL8">
        <v>3</v>
      </c>
      <c r="FM8">
        <v>3</v>
      </c>
      <c r="FN8">
        <v>3</v>
      </c>
      <c r="FO8">
        <v>2</v>
      </c>
      <c r="FP8">
        <v>2</v>
      </c>
      <c r="FQ8" s="1">
        <v>46196.259943668978</v>
      </c>
      <c r="FR8" s="1">
        <v>46268.563498923613</v>
      </c>
    </row>
    <row r="9" spans="1:174" x14ac:dyDescent="0.3">
      <c r="A9">
        <v>9</v>
      </c>
      <c r="B9">
        <v>2</v>
      </c>
      <c r="C9" t="s">
        <v>272</v>
      </c>
      <c r="D9" t="s">
        <v>273</v>
      </c>
      <c r="E9" t="s">
        <v>274</v>
      </c>
      <c r="G9">
        <v>2900</v>
      </c>
      <c r="H9">
        <v>282</v>
      </c>
      <c r="I9" t="s">
        <v>177</v>
      </c>
      <c r="J9" t="s">
        <v>178</v>
      </c>
      <c r="L9">
        <v>69.996949000000001</v>
      </c>
      <c r="M9">
        <v>5.0167800000000002E-3</v>
      </c>
      <c r="N9">
        <v>5.8972379999999995E-4</v>
      </c>
      <c r="O9" s="2">
        <v>-7.4663559999999998E-6</v>
      </c>
      <c r="P9" s="2">
        <v>9.4088999999999996E-9</v>
      </c>
      <c r="Q9">
        <v>0</v>
      </c>
      <c r="R9">
        <v>0.36887799999999998</v>
      </c>
      <c r="S9">
        <v>1.2613618900000001</v>
      </c>
      <c r="T9">
        <v>-6.2642612000000002E-3</v>
      </c>
      <c r="U9" s="2">
        <v>9.1674059999999994E-6</v>
      </c>
      <c r="V9">
        <v>0</v>
      </c>
      <c r="W9">
        <v>0</v>
      </c>
      <c r="X9">
        <v>2.614652</v>
      </c>
      <c r="Y9">
        <v>-1.6800639999999999E-2</v>
      </c>
      <c r="Z9">
        <v>1.3013160000000001E-4</v>
      </c>
      <c r="AA9">
        <v>0</v>
      </c>
      <c r="AB9">
        <v>0</v>
      </c>
      <c r="AC9">
        <v>0</v>
      </c>
      <c r="AD9">
        <v>11.988899999999999</v>
      </c>
      <c r="AE9">
        <v>0.14335200000000001</v>
      </c>
      <c r="AF9">
        <v>1.4406999999999999E-4</v>
      </c>
      <c r="AG9" s="2">
        <v>-1.2772E-6</v>
      </c>
      <c r="AH9">
        <v>0</v>
      </c>
      <c r="AI9">
        <v>0</v>
      </c>
      <c r="AJ9">
        <v>0</v>
      </c>
      <c r="AK9">
        <v>203.58</v>
      </c>
      <c r="AL9">
        <v>150.34</v>
      </c>
      <c r="AM9">
        <v>1</v>
      </c>
      <c r="AN9">
        <v>1</v>
      </c>
      <c r="AO9">
        <v>1</v>
      </c>
      <c r="AP9" t="s">
        <v>234</v>
      </c>
      <c r="AQ9" t="s">
        <v>275</v>
      </c>
      <c r="AR9" t="s">
        <v>276</v>
      </c>
      <c r="AS9" t="s">
        <v>277</v>
      </c>
      <c r="AT9">
        <v>1</v>
      </c>
      <c r="AU9" t="s">
        <v>278</v>
      </c>
      <c r="AV9">
        <v>1</v>
      </c>
      <c r="AW9" t="s">
        <v>279</v>
      </c>
      <c r="AX9">
        <v>1</v>
      </c>
      <c r="AY9" t="s">
        <v>280</v>
      </c>
      <c r="AZ9">
        <v>0</v>
      </c>
      <c r="BA9" t="s">
        <v>281</v>
      </c>
      <c r="BB9">
        <v>0</v>
      </c>
      <c r="BC9" t="s">
        <v>282</v>
      </c>
      <c r="BD9">
        <v>0</v>
      </c>
      <c r="BE9" t="s">
        <v>283</v>
      </c>
      <c r="BF9">
        <v>1</v>
      </c>
      <c r="BG9" t="s">
        <v>284</v>
      </c>
      <c r="BH9">
        <v>1</v>
      </c>
      <c r="BI9">
        <v>1</v>
      </c>
      <c r="BJ9">
        <v>1</v>
      </c>
      <c r="BK9">
        <v>1</v>
      </c>
      <c r="BL9">
        <v>1</v>
      </c>
      <c r="BM9">
        <v>0</v>
      </c>
      <c r="BN9" t="s">
        <v>194</v>
      </c>
      <c r="BO9" t="s">
        <v>188</v>
      </c>
      <c r="BP9">
        <v>1</v>
      </c>
      <c r="BQ9">
        <v>0</v>
      </c>
      <c r="BR9" t="s">
        <v>285</v>
      </c>
      <c r="BS9" t="s">
        <v>286</v>
      </c>
      <c r="BT9" t="s">
        <v>287</v>
      </c>
      <c r="BU9" t="s">
        <v>288</v>
      </c>
      <c r="BV9" t="s">
        <v>289</v>
      </c>
      <c r="BW9" t="s">
        <v>290</v>
      </c>
      <c r="BX9" t="s">
        <v>291</v>
      </c>
      <c r="BY9" t="s">
        <v>292</v>
      </c>
      <c r="BZ9" t="s">
        <v>293</v>
      </c>
      <c r="CA9" t="s">
        <v>294</v>
      </c>
      <c r="CB9" t="s">
        <v>199</v>
      </c>
      <c r="CC9" t="s">
        <v>199</v>
      </c>
      <c r="CD9" t="s">
        <v>200</v>
      </c>
      <c r="CE9" t="s">
        <v>198</v>
      </c>
      <c r="CI9">
        <v>5</v>
      </c>
      <c r="CL9" t="s">
        <v>201</v>
      </c>
      <c r="CM9" t="s">
        <v>201</v>
      </c>
      <c r="CN9">
        <v>0</v>
      </c>
      <c r="CO9" t="s">
        <v>201</v>
      </c>
      <c r="CP9">
        <v>0</v>
      </c>
      <c r="CQ9" t="s">
        <v>202</v>
      </c>
      <c r="CR9">
        <v>0</v>
      </c>
      <c r="CS9" t="s">
        <v>203</v>
      </c>
      <c r="CV9">
        <v>0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0</v>
      </c>
      <c r="DE9">
        <v>0</v>
      </c>
      <c r="DF9">
        <v>0</v>
      </c>
      <c r="DG9">
        <v>30</v>
      </c>
      <c r="DH9">
        <v>60</v>
      </c>
      <c r="DI9" t="s">
        <v>295</v>
      </c>
      <c r="DJ9" t="s">
        <v>296</v>
      </c>
      <c r="DK9">
        <v>5</v>
      </c>
      <c r="DM9" t="s">
        <v>297</v>
      </c>
      <c r="EM9" t="s">
        <v>298</v>
      </c>
      <c r="EN9" t="s">
        <v>299</v>
      </c>
      <c r="EO9" t="s">
        <v>206</v>
      </c>
      <c r="EP9" t="s">
        <v>300</v>
      </c>
      <c r="EQ9" t="s">
        <v>208</v>
      </c>
      <c r="ER9">
        <v>0</v>
      </c>
      <c r="ES9">
        <v>60</v>
      </c>
      <c r="ET9">
        <v>6</v>
      </c>
      <c r="EU9">
        <v>5</v>
      </c>
      <c r="EV9">
        <v>0</v>
      </c>
      <c r="EW9">
        <v>80</v>
      </c>
      <c r="EX9">
        <v>4</v>
      </c>
      <c r="EY9">
        <v>6</v>
      </c>
      <c r="EZ9">
        <v>0</v>
      </c>
      <c r="FA9">
        <v>80</v>
      </c>
      <c r="FB9">
        <v>4</v>
      </c>
      <c r="FC9">
        <v>2</v>
      </c>
      <c r="FD9">
        <v>0</v>
      </c>
      <c r="FE9">
        <v>40</v>
      </c>
      <c r="FF9">
        <v>4</v>
      </c>
      <c r="FG9">
        <v>2</v>
      </c>
      <c r="FH9">
        <v>0</v>
      </c>
      <c r="FI9">
        <v>5</v>
      </c>
      <c r="FJ9">
        <v>5</v>
      </c>
      <c r="FK9">
        <v>2</v>
      </c>
      <c r="FL9">
        <v>2</v>
      </c>
      <c r="FM9">
        <v>4</v>
      </c>
      <c r="FN9">
        <v>3</v>
      </c>
      <c r="FO9">
        <v>2</v>
      </c>
      <c r="FP9">
        <v>3</v>
      </c>
      <c r="FQ9" s="1">
        <v>46221.440082870373</v>
      </c>
      <c r="FR9" s="1">
        <v>46267.826377314814</v>
      </c>
    </row>
    <row r="10" spans="1:174" x14ac:dyDescent="0.3">
      <c r="A10">
        <v>23</v>
      </c>
      <c r="B10">
        <v>2</v>
      </c>
      <c r="C10" t="s">
        <v>301</v>
      </c>
      <c r="D10" t="s">
        <v>302</v>
      </c>
      <c r="E10" t="s">
        <v>303</v>
      </c>
      <c r="G10">
        <v>1000</v>
      </c>
      <c r="H10">
        <v>480</v>
      </c>
      <c r="I10" t="s">
        <v>177</v>
      </c>
      <c r="J10" t="s">
        <v>242</v>
      </c>
      <c r="L10">
        <v>37.302155999999997</v>
      </c>
      <c r="M10">
        <v>2.94195E-3</v>
      </c>
      <c r="N10" s="2">
        <v>-5.55862E-5</v>
      </c>
      <c r="O10" s="2">
        <v>3.1747E-8</v>
      </c>
      <c r="P10">
        <v>0</v>
      </c>
      <c r="Q10">
        <v>0</v>
      </c>
      <c r="R10">
        <v>2.2139679999999999</v>
      </c>
      <c r="S10">
        <v>0.23673272000000001</v>
      </c>
      <c r="T10">
        <v>-2.5027790000000001E-4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36.027500000000003</v>
      </c>
      <c r="AE10">
        <v>4.3395000000000003E-2</v>
      </c>
      <c r="AF10" s="2">
        <v>8.8590000000000004E-5</v>
      </c>
      <c r="AG10" s="2">
        <v>-6.6600000000000001E-8</v>
      </c>
      <c r="AH10">
        <v>0</v>
      </c>
      <c r="AI10">
        <v>0</v>
      </c>
      <c r="AJ10">
        <v>0</v>
      </c>
      <c r="AK10">
        <v>651.6</v>
      </c>
      <c r="AL10">
        <v>472.57</v>
      </c>
      <c r="AM10">
        <v>1</v>
      </c>
      <c r="AN10">
        <v>1</v>
      </c>
      <c r="AO10">
        <v>1</v>
      </c>
      <c r="AP10" t="s">
        <v>234</v>
      </c>
      <c r="AS10" t="s">
        <v>213</v>
      </c>
      <c r="AT10">
        <v>1</v>
      </c>
      <c r="AU10" t="s">
        <v>304</v>
      </c>
      <c r="AV10">
        <v>1</v>
      </c>
      <c r="AW10" t="s">
        <v>305</v>
      </c>
      <c r="AX10">
        <v>0</v>
      </c>
      <c r="AZ10">
        <v>0</v>
      </c>
      <c r="BA10" t="s">
        <v>185</v>
      </c>
      <c r="BB10">
        <v>0</v>
      </c>
      <c r="BD10">
        <v>1</v>
      </c>
      <c r="BE10" t="s">
        <v>306</v>
      </c>
      <c r="BF10">
        <v>0</v>
      </c>
      <c r="BG10" t="s">
        <v>307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0</v>
      </c>
      <c r="BN10" t="s">
        <v>194</v>
      </c>
      <c r="BO10" t="s">
        <v>188</v>
      </c>
      <c r="BP10">
        <v>1</v>
      </c>
      <c r="BQ10">
        <v>1</v>
      </c>
      <c r="BR10" t="s">
        <v>308</v>
      </c>
      <c r="BS10" t="s">
        <v>309</v>
      </c>
      <c r="BT10" t="s">
        <v>310</v>
      </c>
      <c r="BU10" t="s">
        <v>311</v>
      </c>
      <c r="BV10" t="s">
        <v>193</v>
      </c>
      <c r="BW10" t="s">
        <v>194</v>
      </c>
      <c r="BX10" t="s">
        <v>312</v>
      </c>
      <c r="BY10" t="s">
        <v>313</v>
      </c>
      <c r="BZ10" t="s">
        <v>314</v>
      </c>
      <c r="CA10" t="s">
        <v>294</v>
      </c>
      <c r="CB10" t="s">
        <v>199</v>
      </c>
      <c r="CC10" t="s">
        <v>199</v>
      </c>
      <c r="CD10" t="s">
        <v>200</v>
      </c>
      <c r="CE10" t="s">
        <v>198</v>
      </c>
      <c r="CI10">
        <v>5</v>
      </c>
      <c r="CL10" t="s">
        <v>201</v>
      </c>
      <c r="CM10" t="s">
        <v>201</v>
      </c>
      <c r="CN10">
        <v>0</v>
      </c>
      <c r="CO10" t="s">
        <v>201</v>
      </c>
      <c r="CP10">
        <v>0</v>
      </c>
      <c r="CQ10" t="s">
        <v>202</v>
      </c>
      <c r="CR10">
        <v>0</v>
      </c>
      <c r="CS10" t="s">
        <v>203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30</v>
      </c>
      <c r="DH10">
        <v>60</v>
      </c>
      <c r="DI10" t="s">
        <v>315</v>
      </c>
      <c r="DJ10" t="s">
        <v>316</v>
      </c>
      <c r="DK10">
        <v>3</v>
      </c>
      <c r="DM10" t="s">
        <v>297</v>
      </c>
      <c r="EM10" t="s">
        <v>317</v>
      </c>
      <c r="EN10" t="s">
        <v>205</v>
      </c>
      <c r="EO10" t="s">
        <v>206</v>
      </c>
      <c r="EP10" t="s">
        <v>207</v>
      </c>
      <c r="EQ10" t="s">
        <v>208</v>
      </c>
      <c r="ER10" t="s">
        <v>188</v>
      </c>
      <c r="ES10" t="s">
        <v>188</v>
      </c>
      <c r="ET10" t="s">
        <v>188</v>
      </c>
      <c r="EU10" t="s">
        <v>188</v>
      </c>
      <c r="EV10" t="s">
        <v>188</v>
      </c>
      <c r="EW10" t="s">
        <v>188</v>
      </c>
      <c r="EX10" t="s">
        <v>188</v>
      </c>
      <c r="EY10" t="s">
        <v>188</v>
      </c>
      <c r="EZ10" t="s">
        <v>188</v>
      </c>
      <c r="FA10" t="s">
        <v>188</v>
      </c>
      <c r="FB10" t="s">
        <v>188</v>
      </c>
      <c r="FC10" t="s">
        <v>188</v>
      </c>
      <c r="FD10" t="s">
        <v>188</v>
      </c>
      <c r="FE10" t="s">
        <v>188</v>
      </c>
      <c r="FF10" t="s">
        <v>188</v>
      </c>
      <c r="FG10" t="s">
        <v>188</v>
      </c>
      <c r="FH10" t="s">
        <v>188</v>
      </c>
      <c r="FI10" t="s">
        <v>188</v>
      </c>
      <c r="FJ10" t="s">
        <v>188</v>
      </c>
      <c r="FK10" t="s">
        <v>188</v>
      </c>
      <c r="FL10">
        <v>3</v>
      </c>
      <c r="FM10">
        <v>3</v>
      </c>
      <c r="FN10">
        <v>2</v>
      </c>
      <c r="FO10">
        <v>2</v>
      </c>
      <c r="FP10">
        <v>3</v>
      </c>
      <c r="FQ10" s="1">
        <v>46234.783559374999</v>
      </c>
      <c r="FR10" s="1">
        <v>46268.714435729169</v>
      </c>
    </row>
    <row r="12" spans="1:174" x14ac:dyDescent="0.3">
      <c r="CQ12" t="s">
        <v>202</v>
      </c>
    </row>
    <row r="13" spans="1:174" x14ac:dyDescent="0.3">
      <c r="D13" t="str">
        <f>PumpOG!B2</f>
        <v>SPSA</v>
      </c>
      <c r="E13" t="str">
        <f>PumpOG!A2</f>
        <v>2 AF-M</v>
      </c>
      <c r="F13" t="str">
        <f>[1]Sheet1!$B$2</f>
        <v>SPSA</v>
      </c>
      <c r="G13">
        <f>[1]Sheet1!$BU$2</f>
        <v>1800</v>
      </c>
      <c r="H13">
        <f>[1]Sheet1!$BV$2</f>
        <v>228</v>
      </c>
      <c r="L13">
        <f>[1]Sheet1!$CB$2</f>
        <v>30.15</v>
      </c>
      <c r="AQ13" t="str">
        <f>[1]Sheet1!$C$2</f>
        <v>SLURRY</v>
      </c>
      <c r="AU13" t="str">
        <f>[1]Sheet1!$IV$2</f>
        <v>20;30;40;45;47;</v>
      </c>
      <c r="BT13" t="str">
        <f>PumpOG!$BY2</f>
        <v>2 AF-M</v>
      </c>
      <c r="BY13" t="str" cm="1">
        <f t="array" ref="BY13">BuildCurveRawTable(E13)</f>
        <v>30.15,0,0,,;29.95,2.6,20,,;29.5,4.5,30,,;28.35,7.25,40,,;27,9.6,45,,;25,12,47,,;22.8,14.2,45,,</v>
      </c>
    </row>
    <row r="14" spans="1:174" x14ac:dyDescent="0.3">
      <c r="C14" t="str">
        <f>PumpOG!B3</f>
        <v>SPSA</v>
      </c>
      <c r="D14" t="str">
        <f>PumpOG!B3</f>
        <v>SPSA</v>
      </c>
      <c r="E14" t="str">
        <f>PumpOG!A3</f>
        <v>3 AF-M</v>
      </c>
      <c r="BT14" t="str">
        <f>PumpOG!$BY3</f>
        <v>3 AF-M</v>
      </c>
      <c r="BY14" t="str" cm="1">
        <f t="array" ref="BY14">BuildCurveRawTable(E14)</f>
        <v>29.5,0,0,,;28.9,6.3,20,,;28.5,10.35,30,,;27.9,15,40,,;26.8,22.2,50,,;25.5,28.6,55,,;23.8,35.1,57,,;22.5,40,55,,</v>
      </c>
    </row>
    <row r="15" spans="1:174" x14ac:dyDescent="0.3">
      <c r="C15" t="str">
        <f>PumpOG!B4</f>
        <v>SPSA</v>
      </c>
      <c r="D15" t="str">
        <f>PumpOG!B4</f>
        <v>SPSA</v>
      </c>
      <c r="E15" t="str">
        <f>PumpOG!A4</f>
        <v>4 AF-M</v>
      </c>
      <c r="BT15" t="str">
        <f>PumpOG!$BY4</f>
        <v>4 AF-M</v>
      </c>
      <c r="BY15" t="str" cm="1">
        <f t="array" ref="BY15">BuildCurveRawTable(E15)</f>
        <v>29.5,0,0,,;28.8,7,20,,;28.6,12.2,30,,;28.2,19.1,40,,;27.45,27.8,50,,;26.45,36,55,,;23.7,52,58,,;21.3,62,55,,</v>
      </c>
    </row>
    <row r="16" spans="1:174" x14ac:dyDescent="0.3">
      <c r="C16" t="str">
        <f>PumpOG!B5</f>
        <v>SPSA</v>
      </c>
      <c r="D16" t="str">
        <f>PumpOG!B5</f>
        <v>SPSA</v>
      </c>
      <c r="E16" t="str">
        <f>PumpOG!A5</f>
        <v>6 AF-M</v>
      </c>
      <c r="BT16" t="str">
        <f>PumpOG!$BY5</f>
        <v>6 AF-M</v>
      </c>
      <c r="BY16" t="str" cm="1">
        <f t="array" ref="BY16">BuildCurveRawTable(E16)</f>
        <v>25.18,0,0,,;25.27,20,20,,;25.1,33,30,,;24.6,47.7,40,,;24.15,58.3,45,,;23.3,72.7,50,,;21.76,93.3,55,,;20,109,56,,;18.25,124,55,,</v>
      </c>
    </row>
    <row r="17" spans="3:77" x14ac:dyDescent="0.3">
      <c r="C17" t="str">
        <f>PumpOG!B6</f>
        <v>SPSA</v>
      </c>
      <c r="D17" t="str">
        <f>PumpOG!B6</f>
        <v>SPSA</v>
      </c>
      <c r="E17" t="str">
        <f>PumpOG!A6</f>
        <v>20/18-HDM450G-RUBBER</v>
      </c>
      <c r="BT17" t="str">
        <f>PumpOG!$BY6</f>
        <v>20/18-HDM450G-RUBBER;20/18-HDM450G-RUBBER;20/18-HDM450G-RUBBER</v>
      </c>
      <c r="BY17" t="str" cm="1">
        <f t="array" ref="BY17">BuildCurveRawTable(E17)</f>
        <v>14.9,0,0,0.9,;14.9,115.3,40,0.9,;14.8,167.4,50,0.9,;14.7,252.9,60,1.1,;14.3,334.7,70,1.2,;13.9,416.5,75,1.4,;13,576.4,80,1.9,;11.9,728.9,82,2.6,;10.6,911.2,80,3.4,|28,0,0,0,;28.1,171.1,40,0,;28,245.5,50,0,;27.7,342.1,60,0,;27,461.2,70,0,;26.2,569,75,0,;24.6,773.6,80,0,;22.3,1012,82,0,;19.8,1253,80,0,|45.4,0,0,2.6,;45.4,219.4,40,2.6,;45.2,316.1,50,2.7,;44.7,431.4,60,3,;43.7,587.6,70,3.5,;42.6,721.5,75,4.1,;39.8,974.4,80,5.5,;35.9,1298,82,7.7,;32.1,1603,80,10.1,</v>
      </c>
    </row>
    <row r="18" spans="3:77" x14ac:dyDescent="0.3">
      <c r="C18" t="str">
        <f>PumpOG!B7</f>
        <v>SPSA</v>
      </c>
      <c r="D18" t="str">
        <f>PumpOG!B7</f>
        <v>SPSA</v>
      </c>
      <c r="E18" t="str">
        <f>PumpOG!A7</f>
        <v>10 AHF-M</v>
      </c>
      <c r="BT18" t="str">
        <f>PumpOG!$BY7</f>
        <v>10 AHF-M</v>
      </c>
      <c r="BY18" t="str" cm="1">
        <f t="array" ref="BY18">BuildCurveRawTable(E18)</f>
        <v>73,0,0,2.5,;73.13,130,40,2.5,;73.1,180,50,3,;72.6,251,60,4,;71.25,362,70,5,;68.5,459,75,6,;62,620,78,8,;54.2,750,75,11,</v>
      </c>
    </row>
    <row r="19" spans="3:77" x14ac:dyDescent="0.3">
      <c r="C19" t="str">
        <f>PumpOG!B8</f>
        <v>SPSA</v>
      </c>
      <c r="D19" t="str">
        <f>PumpOG!B8</f>
        <v>SPSA</v>
      </c>
      <c r="E19" t="str">
        <f>PumpOG!A8</f>
        <v>2 AHF-M</v>
      </c>
      <c r="BT19" t="str">
        <f>PumpOG!$BY8</f>
        <v>2 AHF-M</v>
      </c>
      <c r="BY19" t="str" cm="1">
        <f t="array" ref="BY19">BuildCurveRawTable(E19)</f>
        <v>57,0,0,1.6,;56.95,6.1,20,1.6,;56.5,10,30,2.15,;56.1,12.4,35,2.5,;55.6,15,40,2.85,;54.9,18,45,3.34,;54,21.5,50,4,;52.5,27,55,6.6,;50.8,33.25,57,,;48.5,39.8,55,,</v>
      </c>
    </row>
    <row r="20" spans="3:77" x14ac:dyDescent="0.3">
      <c r="C20" t="str">
        <f>PumpOG!B9</f>
        <v>SPSA</v>
      </c>
      <c r="D20" t="str">
        <f>PumpOG!B9</f>
        <v>SPSA</v>
      </c>
      <c r="E20" t="str">
        <f>PumpOG!A9</f>
        <v>3 AHF-M</v>
      </c>
      <c r="BT20" t="str">
        <f>PumpOG!$BY9</f>
        <v>3 AHF-M</v>
      </c>
      <c r="BY20" t="str" cm="1">
        <f t="array" ref="BY20">BuildCurveRawTable(E20)</f>
        <v>52.8,0,0,1.1,;53.3,10,20,1.1,;53.5,16.3,30,1.9,;53.5,24.4,40,2.55,;53.3,29,45,2.9,;53,34,50,3.4,;52.5,40.8,55,4,;51.3,50.2,60,4.9,;49,62.3,62,,;46.8,73.1,60,,;44.4,85,55,,</v>
      </c>
    </row>
    <row r="21" spans="3:77" x14ac:dyDescent="0.3">
      <c r="C21" t="str">
        <f>PumpOG!B10</f>
        <v>SPSA</v>
      </c>
      <c r="D21" t="str">
        <f>PumpOG!B10</f>
        <v>SPSA</v>
      </c>
      <c r="E21" t="str">
        <f>PumpOG!A10</f>
        <v>4 AHF-M</v>
      </c>
      <c r="BT21" t="str">
        <f>PumpOG!$BY10</f>
        <v>4 AHF-M</v>
      </c>
      <c r="BY21" t="str" cm="1">
        <f t="array" ref="BY21">BuildCurveRawTable(E21)</f>
        <v>68.8,0,0,1.8,;66.8,15.5,20,1.8,;66.05,24.4,30,2.07,;65.5,37.6,40,2.3,;64.8,50,50,2.7,;64,73.5,60,3.6,;63.2,91,64,4.7,;60.8,114.3,66,5.9,;56.9,136.2,64,,</v>
      </c>
    </row>
    <row r="22" spans="3:77" x14ac:dyDescent="0.3">
      <c r="C22" t="str">
        <f>PumpOG!B11</f>
        <v>SPSA</v>
      </c>
      <c r="D22" t="str">
        <f>PumpOG!B11</f>
        <v>SPSA</v>
      </c>
      <c r="E22" t="str">
        <f>PumpOG!A11</f>
        <v>6 AHF-M</v>
      </c>
      <c r="BT22" t="str">
        <f>PumpOG!$BY11</f>
        <v>6 AHF-M</v>
      </c>
      <c r="BY22" t="str" cm="1">
        <f t="array" ref="BY22">BuildCurveRawTable(E22)</f>
        <v>60.8,0,0,2.8,;62.05,60,30,2.8,;62.15,90,40,3,;62.15,137.5,50,3.49,;62,171,55,3.85,;61.3,215,60,4.8,;59.9,270.5,62,6,;56,317,63.5,8,;49.2,360,62,,;44.8,376,60,,</v>
      </c>
    </row>
    <row r="23" spans="3:77" x14ac:dyDescent="0.3">
      <c r="C23" t="str">
        <f>PumpOG!B12</f>
        <v>SPSA</v>
      </c>
      <c r="D23" t="str">
        <f>PumpOG!B12</f>
        <v>SPSA</v>
      </c>
      <c r="E23" t="str">
        <f>PumpOG!A12</f>
        <v>8 AHF-M</v>
      </c>
      <c r="BT23" t="str">
        <f>PumpOG!$BY12</f>
        <v>8 AHF-M</v>
      </c>
      <c r="BY23" t="str" cm="1">
        <f t="array" ref="BY23">BuildCurveRawTable(E23)</f>
        <v>62.2,0,0,2.5,;62.2,100,40,2.5,;62,140,50,3,;61.3,198,60,4,;60.6,245,65,5,;58.3,335,70,6,;55,415,71.5,8,;49.3,520,70,11,;42.7,620,65,0,</v>
      </c>
    </row>
    <row r="24" spans="3:77" x14ac:dyDescent="0.3">
      <c r="C24" t="str">
        <f>PumpOG!B13</f>
        <v>SPSA</v>
      </c>
      <c r="D24" t="str">
        <f>PumpOG!B13</f>
        <v>SPSA</v>
      </c>
      <c r="E24" t="str">
        <f>PumpOG!A13</f>
        <v>AL20MG-460</v>
      </c>
      <c r="BT24" t="str">
        <f>PumpOG!$BY13</f>
        <v>AL20MG-460;AL20MG-460;AL20MG-460</v>
      </c>
      <c r="BY24" t="str" cm="1">
        <f t="array" ref="BY24">BuildCurveRawTable(E24)</f>
        <v>14.1,0,0,1.2,;14.1,30.4,50,1.1,;13.3,43.4,60,1.1,;12.9,52.7,65,1.1,;12.5,63.8,69,1.2,;11.6,76.9,71,1.3,;11.6,93.6,71.5,1.6,;10,108.5,71,1.8,;8.7,124.6,68,2.2,|71.8,0,0,6,;70.6,68.8,50,5.9,;68.9,94.8,60,6,;67.2,114.7,65,5.7,;64.8,137.6,69,5.5,;62.3,157.4,73,5.7,;57.7,191.5,71.1,6.7,;53.1,222.5,71,8.2,;49,249.8,69,9.8,;46.5,260.3,68,10.5,|102.1,0,0,8.7,;99.2,81.8,50,8.5,;96.3,113.4,60,8.3,;93.8,135.7,65,7.9,;90.9,161.8,69,7.8,;88,182.9,71,8,;84.7,201.4,72,8.5,;81.4,221.3,72.4,9.1,;78,244.2,72,10.1,;74.3,264,71,11.2,;69.7,290.1,69,13.2,;67.7,300,68,13.9,</v>
      </c>
    </row>
    <row r="25" spans="3:77" x14ac:dyDescent="0.3">
      <c r="C25" t="str">
        <f>PumpOG!B14</f>
        <v>SPSA</v>
      </c>
      <c r="D25" t="str">
        <f>PumpOG!B14</f>
        <v>SPSA</v>
      </c>
      <c r="E25" t="str">
        <f>PumpOG!A14</f>
        <v>150 C5-M</v>
      </c>
      <c r="BT25" t="str">
        <f>PumpOG!$BY14</f>
        <v>150 C5-M</v>
      </c>
      <c r="BY25" t="str" cm="1">
        <f t="array" ref="BY25">BuildCurveRawTable(E25)</f>
        <v>118,0,0,2.5,;124,40,50,2.5,;124.5,59.8,60,2.5,;122.7,80,64,2.6,;120.5,92,66,2.8,;109.4,129.5,70,5.67,;89,169.5,66,10,;82.5,180,0,10,</v>
      </c>
    </row>
    <row r="26" spans="3:77" x14ac:dyDescent="0.3">
      <c r="C26" t="str">
        <f>PumpOG!B15</f>
        <v>SPSA</v>
      </c>
      <c r="D26" t="str">
        <f>PumpOG!B15</f>
        <v>SPSA</v>
      </c>
      <c r="E26" t="str">
        <f>PumpOG!A15</f>
        <v>CP150i 285</v>
      </c>
      <c r="BT26" t="str">
        <f>PumpOG!$BY15</f>
        <v>CP150i</v>
      </c>
      <c r="BY26" t="str" cm="1">
        <f t="array" ref="BY26">BuildCurveRawTable(E26)</f>
        <v>59.9,0,0,1.5,;57.4,26.3,30,1.5,;53.9,54.9,53,1.6,;50.8,78.8,65,2.3,;45.6,105.5,74,3.2,;40.3,127.7,75,4.5,;32.9,153.1,74,6.1,;27.8,165.3,68.93,6.8,</v>
      </c>
    </row>
    <row r="27" spans="3:77" x14ac:dyDescent="0.3">
      <c r="C27" t="str">
        <f>PumpOG!B16</f>
        <v>SPSA</v>
      </c>
      <c r="D27" t="str">
        <f>PumpOG!B16</f>
        <v>SPSA</v>
      </c>
      <c r="E27" t="str">
        <f>PumpOG!A16</f>
        <v>HH130i</v>
      </c>
      <c r="BT27" t="str">
        <f>PumpOG!$BY16</f>
        <v>HH130i;HH130i</v>
      </c>
      <c r="BY27" t="str" cm="1">
        <f t="array" ref="BY27">BuildCurveRawTable(E27)</f>
        <v>120.2,0,0,0,;116.5,20.2,38.45,0,;112.3,39.3,57.69,0,;106.7,52.8,58,0,;101,61.9,59,0,;93.7,71.3,54.58,0,;86.3,79.6,48,0,|148.4,0,0,1.5,;144,22,41.41,1.7,;141.7,34.2,52.79,1.7,;132.6,57.1,59.45,2.5,;123.6,71.1,60,3,;115.4,79.4,56,3.7,;106.4,87.9,52,6.5,</v>
      </c>
    </row>
    <row r="28" spans="3:77" x14ac:dyDescent="0.3">
      <c r="C28" t="str">
        <f>PumpOG!B17</f>
        <v>SPSA</v>
      </c>
      <c r="D28" t="str">
        <f>PumpOG!B17</f>
        <v>SPSA</v>
      </c>
      <c r="E28" t="str">
        <f>PumpOG!A17</f>
        <v>HL160M</v>
      </c>
      <c r="BT28" t="str">
        <f>PumpOG!$BY17</f>
        <v>HL160M</v>
      </c>
      <c r="BY28" t="str" cm="1">
        <f t="array" ref="BY28">BuildCurveRawTable(E28)</f>
        <v>188.4,0,0,2.2,;186.3,100.6,33,2.2,;184.2,187.4,50,2.3,;176.8,251.6,58,2.4,;168.4,303,61,2.8,;161.1,335.1,62,3.1,;153.7,368.3,61,3.5,;142.1,404.7,59,4,;131.6,440,56,4.5,;120,464.7,52,4.9,;108.4,486.1,47.8,5.4,</v>
      </c>
    </row>
    <row r="29" spans="3:77" x14ac:dyDescent="0.3">
      <c r="C29" t="str">
        <f>PumpOG!B18</f>
        <v>SPSA</v>
      </c>
      <c r="D29" t="str">
        <f>PumpOG!B18</f>
        <v>SPSA</v>
      </c>
      <c r="E29" t="str">
        <f>PumpOG!A18</f>
        <v>HL225M</v>
      </c>
      <c r="BT29" t="str">
        <f>PumpOG!$BY18</f>
        <v>HL225M</v>
      </c>
      <c r="BY29" t="str" cm="1">
        <f t="array" ref="BY29">BuildCurveRawTable(E29)</f>
        <v>114.3,0,0,2.4,;112.3,136.7,25,2.3,;107.5,279.1,45,2.4,;101.4,440.5,60,2.5,;95.3,600,68,3.9,;92.6,674.1,70,4.6,;89.8,732.9,71,5.2,;87.1,770.9,70,5.7,;83.7,801.3,68,6,;78.3,831.6,65,6.7,</v>
      </c>
    </row>
    <row r="30" spans="3:77" x14ac:dyDescent="0.3">
      <c r="C30" t="str">
        <f>PumpOG!B19</f>
        <v>SPSA</v>
      </c>
      <c r="D30" t="str">
        <f>PumpOG!B19</f>
        <v>SPSA</v>
      </c>
      <c r="E30" t="str">
        <f>PumpOG!A19</f>
        <v>HL250M</v>
      </c>
      <c r="BT30" t="str">
        <f>PumpOG!$BY19</f>
        <v>HL250M</v>
      </c>
      <c r="BY30" t="str" cm="1">
        <f t="array" ref="BY30">BuildCurveRawTable(E30)</f>
        <v>123.4,0,0,2,;121.2,159.7,28,2,;118.2,358.6,50,2,;112.9,540.7,65,2.2,;103.1,700.4,72,2.8,;92.6,843.3,75,3.5,;81.3,958.2,72,4.2,;71.5,1056,68,5,;61.7,1126,62,5.5,;50.4,1182,52,6,;38.4,1224,40.99,6.4,</v>
      </c>
    </row>
    <row r="31" spans="3:77" x14ac:dyDescent="0.3">
      <c r="C31" t="str">
        <f>PumpOG!B20</f>
        <v>SPSA</v>
      </c>
      <c r="D31" t="str">
        <f>PumpOG!B20</f>
        <v>SPSA</v>
      </c>
      <c r="E31" t="str">
        <f>PumpOG!A20</f>
        <v xml:space="preserve">PAC H108 </v>
      </c>
      <c r="BT31" t="str">
        <f>PumpOG!$BY20</f>
        <v>PAC H108</v>
      </c>
      <c r="BY31" t="str" cm="1">
        <f t="array" ref="BY31">BuildCurveRawTable(E31)</f>
        <v>109.4,0,0,2.8,;96,381.9,60,2.9,;90.8,526.6,70,2.6,;82.5,707.5,75,3.2,;73.8,908.5,79,4.5,;62.5,1166,82,5.9,;52.1,1403,79,7.9,;44.8,1556,74.8,9.1,</v>
      </c>
    </row>
    <row r="32" spans="3:77" x14ac:dyDescent="0.3">
      <c r="C32" t="str">
        <f>PumpOG!B21</f>
        <v>SPSA</v>
      </c>
      <c r="D32" t="str">
        <f>PumpOG!B21</f>
        <v>SPSA</v>
      </c>
      <c r="E32" t="str">
        <f>PumpOG!A21</f>
        <v>PAC H108 BACK</v>
      </c>
      <c r="BT32" t="str">
        <f>PumpOG!$BY21</f>
        <v>PAC H108 BACK;PAC H108 BACK;PAC H108 BACK;PAC H108 BACK</v>
      </c>
      <c r="BY32" t="str" cm="1">
        <f t="array" ref="BY32">BuildCurveRawTable(E32)</f>
        <v>48.8,0,0,0,;43.1,233.2,60,0,;41,321.6,70,0,;38.3,426.1,75,0,;34.2,554.8,79,0,;27.9,771.9,82,0,;22.1,964.8,79,79,;17.9,1085,75,0,;10.4,1266,59,0,|66.2,0,0,0,;58.1,297.5,60,0,;55.4,385.9,70,0,;51,514.6,75,0,;45.4,671.4,79,0,;38.1,900.5,82,0,;30.2,1118,79,0,;26.5,1226,75,0,;17.3,1423,57,0,|86,0,0,2.6,;75.8,353.8,60,2.7,;71.9,462.3,70,2.1,;65.4,619.1,75,2.5,;58.5,783.9,79,3.5,;48.5,1045,82,4.9,;40.4,1262,79,6.5,;35,1391,75,7.6,;27.5,1552,71,8.9,|109.4,0,0,2.8,;96,381.9,60,2.9,;90.8,526.6,70,2.6,;82.5,707.5,75,3.2,;73.8,908.5,79,4.5,;62.5,1166,82,5.9,;52.1,1403,79,7.9,;44.8,1556,74.8,9.1,</v>
      </c>
    </row>
    <row r="33" spans="3:77" x14ac:dyDescent="0.3">
      <c r="C33" t="str">
        <f>PumpOG!B22</f>
        <v>SPSA</v>
      </c>
      <c r="D33" t="str">
        <f>PumpOG!B22</f>
        <v>SPSA</v>
      </c>
      <c r="E33" t="str">
        <f>PumpOG!A22</f>
        <v>PAC H64 FSC03</v>
      </c>
      <c r="BT33" t="str">
        <f>PumpOG!$BY22</f>
        <v>PAC H64 FSC03;PAC H64 FSC03</v>
      </c>
      <c r="BY33" t="str" cm="1">
        <f t="array" ref="BY33">BuildCurveRawTable(E33)</f>
        <v>112.9,0,0,3.3,;104.2,173.9,50,3.4,;100.8,267.8,60,3.4,;97.7,333.9,65,3.7,;86.2,490.4,68,5.1,;79.3,579.1,66,6.9,|153.4,0,0,2.4,;147.5,107.8,35,2.3,;141,194.8,50,2.2,;137.8,300.9,60,2.6,;131.9,391.3,65,3.2,;119.1,532.2,69,4.7,;115,582.6,66,5.9,</v>
      </c>
    </row>
    <row r="34" spans="3:77" x14ac:dyDescent="0.3">
      <c r="C34" t="str">
        <f>PumpOG!B23</f>
        <v>SPSA</v>
      </c>
      <c r="D34" t="str">
        <f>PumpOG!B23</f>
        <v>SPSA</v>
      </c>
      <c r="E34" t="str">
        <f>PumpOG!A23</f>
        <v>PAS 150HF 300</v>
      </c>
      <c r="BT34" t="str">
        <f>PumpOG!$BY23</f>
        <v>PAS 150HF 300</v>
      </c>
      <c r="BY34" t="str" cm="1">
        <f t="array" ref="BY34">BuildCurveRawTable(E34)</f>
        <v>50.1,0,0,4,;44.6,169.2,40,4.2,;43,215.2,50,4.5,;40.3,295.2,63,5.1,;35.8,391,70,6,;29.7,465.7,65,7.1,;22.6,516.9,55,8.1,</v>
      </c>
    </row>
    <row r="35" spans="3:77" x14ac:dyDescent="0.3">
      <c r="C35" t="str">
        <f>PumpOG!B24</f>
        <v>SPSA</v>
      </c>
      <c r="D35" t="str">
        <f>PumpOG!B24</f>
        <v>SPSA</v>
      </c>
      <c r="E35" t="str">
        <f>PumpOG!A24</f>
        <v>PAS 150MF 250</v>
      </c>
      <c r="BT35" t="str">
        <f>PumpOG!$BY24</f>
        <v>PAS 150MF 250;PAS 150MF 250;PAS 150MF 250;PAS 150MF 250</v>
      </c>
      <c r="BY35" t="str" cm="1">
        <f t="array" ref="BY35">BuildCurveRawTable(E35)</f>
        <v>18.3,0,0,0,;14.3,117,60,0,;13.1,160.2,70,0,;10.9,234,77,0,;8.3,307.8,70,0,;4.5,391.4,43.59,0,|24,0,0,0,;18.5,136.5,60,0,;17.1,178.3,70,0,;14.3,263.2,77,0,;10.9,344,70,0,;6.4,427.6,46.57,0,|30.4,0,0,0.5,;23.4,149,60,1.3,;21.6,197.8,70,1.9,;18.1,296.7,77,3.3,;13.3,398.3,70,5.1,;7.9,480.5,46.98,6.7,|37.4,0,0,0.6,;32.2,82.2,37.93,0.5,;28.8,161.6,60,1.5,;26.9,220.1,70,2.1,;22.4,335.7,77,3.9,;14.9,465.2,70,6.4,;7.7,536.2,40.15,8.3,</v>
      </c>
    </row>
    <row r="36" spans="3:77" x14ac:dyDescent="0.3">
      <c r="C36" t="str">
        <f>PumpOG!B25</f>
        <v>SPSA</v>
      </c>
      <c r="D36" t="str">
        <f>PumpOG!B25</f>
        <v>SPSA</v>
      </c>
      <c r="E36" t="str">
        <f>PumpOG!A25</f>
        <v>XH150i 560</v>
      </c>
      <c r="BT36" t="str">
        <f>PumpOG!$BY25</f>
        <v>XH150</v>
      </c>
      <c r="BY36" t="str" cm="1">
        <f t="array" ref="BY36">BuildCurveRawTable(E36)</f>
        <v>184,0,0,2.3,;179.9,27.2,29.98,2.5,;175,54.4,46.67,2.3,;167.9,83.1,60.8,3.1,;161.2,107.1,70,4.2,;154.5,125.6,73,5.4,;148.9,137.2,72.83,6.2,;140.3,149.9,68,7.9,</v>
      </c>
    </row>
    <row r="37" spans="3:77" x14ac:dyDescent="0.3">
      <c r="C37" t="str">
        <f>PumpOG!B26</f>
        <v>SPSA</v>
      </c>
      <c r="D37" t="str">
        <f>PumpOG!B26</f>
        <v>SPSA</v>
      </c>
      <c r="E37" t="str">
        <f>PumpOG!A26</f>
        <v>6/4-GR100D-M</v>
      </c>
      <c r="BT37" t="str">
        <f>PumpOG!$BY26</f>
        <v>6/4 G-M;6/4 G-M;6/4 G-M;6/4 G-M;6/4 G-M</v>
      </c>
      <c r="BY37" t="str" cm="1">
        <f t="array" ref="BY37">BuildCurveRawTable(E37)</f>
        <v>10.2,0,0,0,;9.6,8,30,1.1,;9.2,15.3,45,1.1,;8.8,20.4,50,1.3,;8.5,33.6,58,1.4,;7.6,44,59,1.7,;6.9,54.2,58,2,;5.9,60.4,55,2.3,;3.9,68.2,49.8,2.6,|17.5,0,0,0,;16.8,12,30,0.8,;16.5,17.1,40,1.2,;16.2,26,50,1.5,;16.1,33.6,55,1.5,;15.2,41.4,58,1.7,;14.5,52.6,58.75,2.4,;12.9,64.5,58,3.2,;11.6,71.5,55,3.5,;10.1,76.5,49.8,4.1,|27.5,0,0,0.2,;25.7,15.5,30,0.85,;25.6,28,45,1.4,;24.6,42.3,55,1.9,;24.1,53,58,2.4,;23.1,63.9,58.5,3.1,;21.3,74.4,58,3.7,;19.8,81.9,55,4.3,;18.8,86,49.8,4.9,|39.5,0,0,0.4,;37,18,30,1.15,;36.2,35,45,1.8,;35.5,57,55,2.8,;33.5,74,57.85,3.5,;30.9,85.6,55,4.6,;28.7,92.6,49.8,5.3,|54.5,0,0,0.4,;51,20,30,1.3,;49.9,44,45,2.1,;49,62,50,3.22,;45.8,81.6,54,4.4,;40,98.1,49.8,5.8,</v>
      </c>
    </row>
    <row r="38" spans="3:77" x14ac:dyDescent="0.3">
      <c r="C38" t="str">
        <f>PumpOG!B27</f>
        <v>SPSA</v>
      </c>
      <c r="D38" t="str">
        <f>PumpOG!B27</f>
        <v>SPSA</v>
      </c>
      <c r="E38" t="str">
        <f>PumpOG!A27</f>
        <v>10/8-GR200F-M</v>
      </c>
      <c r="BT38" t="str">
        <f>PumpOG!$BY27</f>
        <v>10/8 G-M;10/8 G-M;10/8 G-M;10/8 G-M;10/8 G-M;10/8 G-M</v>
      </c>
      <c r="BY38" t="str" cm="1">
        <f t="array" ref="BY38">BuildCurveRawTable(E38)</f>
        <v>13.7,0,0,0,;12.4,75,35,0.5,;11.9,102,45,1.9,;10.6,135.4,50,2.5,;9.3,177,44,3.75,|19.5,0,0,0.6,;17.8,69.7,35,1.7,;17.7,89.4,45,2.1,;16.4,133.8,55,2.5,;15.7,155.6,60,3.5,;14.2,189.4,60,4.4,;12,219.7,54.9,5.6,|26.7,0,0,0.7,;25,60,34,1.1,;23.8,125,55,2,;21.4,190,61.5,4.2,;18.6,230,60,4.8,;15.7,265,54.7,7.5,|35,0,0,0.6,;32.2,62,36,1.1,;31.5,130,55,2.1,;30.6,165.5,60,3.3,;28.4,219.7,63,5.6,;24.6,267.6,60,7.6,;23,283.1,58,8.5,|44.5,0,0,0.6,;41,65,35,1.1,;39.5,140.1,55,2.5,;38.3,182.4,60,3.9,;35,245.8,65,6.7,;28.1,311.3,59,10.1,|54,0,0,0.7,;51.1,75,35,1.2,;49.1,155,54,3.1,;47.5,205,60,4.6,;43.9,263.4,65,7.8,;41.8,284.5,65,8.6,;35.7,335.2,58,11.8,</v>
      </c>
    </row>
    <row r="39" spans="3:77" x14ac:dyDescent="0.3">
      <c r="C39" t="str">
        <f>PumpOG!B28</f>
        <v>SPSA</v>
      </c>
      <c r="D39" t="str">
        <f>PumpOG!B28</f>
        <v>SPSA</v>
      </c>
      <c r="E39" t="str">
        <f>PumpOG!A28</f>
        <v>12/10-GR250F-M</v>
      </c>
      <c r="BT39" t="str">
        <f>PumpOG!$BY28</f>
        <v>12/10 G-M</v>
      </c>
      <c r="BY39" t="str" cm="1">
        <f t="array" ref="BY39">BuildCurveRawTable(E39)</f>
        <v>83,0,0,2.6,;80.7,122,36.5,2.6,;79.7,173,50,3.2,;77.7,260,60,3.7,;73,428,70,5.6,;67,618,73,8.4,;60.2,809,69.8,11.9,</v>
      </c>
    </row>
    <row r="40" spans="3:77" x14ac:dyDescent="0.3">
      <c r="C40" t="str">
        <f>PumpOG!B29</f>
        <v>SPSA</v>
      </c>
      <c r="D40" t="str">
        <f>PumpOG!B29</f>
        <v>SPSA</v>
      </c>
      <c r="E40" t="str">
        <f>PumpOG!A29</f>
        <v>6/6-GR100E-M</v>
      </c>
      <c r="BT40" t="str">
        <f>PumpOG!$BY29</f>
        <v>6/6 G-M;6/6 G-M;6/6 G-M;6/6 G-M</v>
      </c>
      <c r="BY40" t="str" cm="1">
        <f t="array" ref="BY40">BuildCurveRawTable(E40)</f>
        <v>18.5,0,0,1.6,;15.8,32,42,1.6,;14.8,50,55,2.9,;14.1,70,60,3.4,;9.8,113,44,5.28,;7.4,130,40,6.1,|29.5,0,0,0.5,;26.5,18,30,1.2,;25,42,50,2.3,;24.4,64.2,60,3.5,;22.3,94.5,63,4.8,;18.5,123.2,60,6.2,;15.4,142.7,50,7.3,;11.5,161.2,40,8.5,|41.5,0,0,0.6,;38,24,30,1.1,;34,74,60,3.76,;31.9,114,64.8,5.31,;27.1,146.3,60,7.8,;21.5,174,50,9.9,;16.5,194,40,11,|55.5,0,0,0.7,;49,48,36,2.7,;46.9,94,58,4.57,;42.8,137,66.4,6,;36,171,61,9.65,;23,226,40,14.2,</v>
      </c>
    </row>
    <row r="41" spans="3:77" x14ac:dyDescent="0.3">
      <c r="C41" t="str">
        <f>PumpOG!B30</f>
        <v>SPSA</v>
      </c>
      <c r="D41" t="str">
        <f>PumpOG!B30</f>
        <v>SPSA</v>
      </c>
      <c r="E41" t="str">
        <f>PumpOG!A30</f>
        <v>8/6-GR150E-M</v>
      </c>
      <c r="BT41" t="str">
        <f>PumpOG!$BY30</f>
        <v>8/6-GR150E-M;8/6-GR150E-M;8/6-GR150E-M;8/6-GR150E-M</v>
      </c>
      <c r="BY41" t="str" cm="1">
        <f t="array" ref="BY41">BuildCurveRawTable(E41)</f>
        <v>18.4,0,0,3.3,;17.1,16.4,30,3.5,;16.1,29.7,40,3.3,;15.5,39.4,50,3.7,;13.9,69.7,60,3.7,;13.3,82.5,60.2,4.4,;12.2,92.7,60,4.4,;10.1,111.7,50,5.3,;7.4,129.1,40,6.3,|29.6,0,0,0,;26.6,18.4,30,0,;25.5,31.2,40,0,;25,42,50,0,;24.1,63.5,60,0,;22.2,93.2,60.3,0,;18.4,122.4,60,0,;15.1,142.4,50,0,;11.3,160.9,40,0,|41.8,0,0,0,;38,23.1,30,0,;36.8,35.9,40,0,;35.9,48.2,50,0,;34.6,74.3,60,3.7,;31.6,113.2,64.96,5.3,;26.8,146.5,60,0,;21.3,174.2,50,0,;16.6,195.7,40,0,|55.8,0,0,3.7,;50.7,32.8,30,3,;49.3,46.1,40,2.6,;48.4,60.5,50,3.2,;46.4,92.2,60,4.4,;43.3,127,65,6.1,;42.1,135.2,65.2,6.5,;41.1,143.4,65,7.2,;36.3,170.1,60,8.9,;28.6,203.9,50,11.9,;23.2,225.9,39.89,14.2,</v>
      </c>
    </row>
    <row r="42" spans="3:77" x14ac:dyDescent="0.3">
      <c r="C42" t="str">
        <f>PumpOG!B31</f>
        <v>SPSA</v>
      </c>
      <c r="D42" t="str">
        <f>PumpOG!B31</f>
        <v>SPSA</v>
      </c>
      <c r="E42" t="str">
        <f>PumpOG!A31</f>
        <v>1.5/1-HD25B-METAL</v>
      </c>
      <c r="BT42" t="str">
        <f>PumpOG!$BY31</f>
        <v>1.5/1 AH-M</v>
      </c>
      <c r="BY42" t="str" cm="1">
        <f t="array" ref="BY42">BuildCurveRawTable(E42)</f>
        <v>93,0,0,3,;90.9,2.8,30,3,;89.8,4.01,40,3.5,;88.5,5.2,45,3.8,;86.4,6.35,50,4,;74.8,10.8,56,8,;57.4,14.4,50,0,;49.7,15.6,45,0,</v>
      </c>
    </row>
    <row r="43" spans="3:77" x14ac:dyDescent="0.3">
      <c r="C43" t="str">
        <f>PumpOG!B32</f>
        <v>SPSA</v>
      </c>
      <c r="D43" t="str">
        <f>PumpOG!B32</f>
        <v>SPSA</v>
      </c>
      <c r="E43" t="str">
        <f>PumpOG!A32</f>
        <v>1.5/1-HD25B-RUBBER</v>
      </c>
      <c r="BT43" t="str">
        <f>PumpOG!$BY32</f>
        <v>1.5/1 AH-R</v>
      </c>
      <c r="BY43" t="str" cm="1">
        <f t="array" ref="BY43">BuildCurveRawTable(E43)</f>
        <v>49.2,0,0,2.6,;49,1.7,20,2.6,;48,3,30,3.3,;46.1,4.35,40,4,;44.4,5.3,45,4.8,;42.6,6.2,48,6,;38.9,7.8,50,8,;35,9.1,48,0,;32.4,9.8,45,0,</v>
      </c>
    </row>
    <row r="44" spans="3:77" x14ac:dyDescent="0.3">
      <c r="C44" t="str">
        <f>PumpOG!B33</f>
        <v>SPSA</v>
      </c>
      <c r="D44" t="str">
        <f>PumpOG!B33</f>
        <v>SPSA</v>
      </c>
      <c r="E44" t="str">
        <f>PumpOG!A33</f>
        <v>10/8-HD200G-METAL</v>
      </c>
      <c r="BT44" t="str">
        <f>PumpOG!$BY33</f>
        <v>10/8-HD200G-METAL;10/8-HD200G-METAL;10/8-HD200G-METAL;10/8-HD200G-METAL</v>
      </c>
      <c r="BY44" t="str" cm="1">
        <f t="array" ref="BY44">BuildCurveRawTable(E44)</f>
        <v>14.5,0,0,0.7,;14.3,25.9,30,0.7,;13.7,85,65,0.9,;13.2,115.8,70,1,;11.9,163.9,73.58,2.5,;10.2,203.3,70,4.5,;8.9,229.2,65,5.5,|33,0,0,1.3,;31.9,64.1,45,3.9,;30.8,119.5,65,4.6,;29.1,183.6,75,6.6,;27.3,230.4,77.2,8.6,;24.3,277,75,10,;21.9,313,70,11.2,;19.7,342.5,65,12.7,|57.9,0,0,4.8,;56,112.1,50,4.2,;55.1,147.8,60,5.5,;53.8,197.1,70,6.6,;51.2,255,77,9.2,;48.4,303.1,77.85,11,;42.5,374.5,75,13.4,;38.6,406.6,70,14.3,;33.8,442.3,65,15.8,|90.7,0,0,0.4,;87.6,134.3,50,4.6,;85.7,200.8,65,7.5,;82,284.6,75,10.5,;75.7,375.8,78.8,13.6,;72,416.4,77,14.9,;60.7,506.4,70,17.5,;53.1,550.7,65,19.3,</v>
      </c>
    </row>
    <row r="45" spans="3:77" x14ac:dyDescent="0.3">
      <c r="C45" t="str">
        <f>PumpOG!B34</f>
        <v>SPSA</v>
      </c>
      <c r="D45" t="str">
        <f>PumpOG!B34</f>
        <v>SPSA</v>
      </c>
      <c r="E45" t="str">
        <f>PumpOG!A34</f>
        <v>10/8-HD200G-RUBBER</v>
      </c>
      <c r="BT45" t="str">
        <f>PumpOG!$BY34</f>
        <v>10/8-HD200G-RUBBER</v>
      </c>
      <c r="BY45" t="str" cm="1">
        <f t="array" ref="BY45">BuildCurveRawTable(E45)</f>
        <v>51.3,0,0,0.8,;50,49.7,35.5,0.9,;51.3,74.5,49,1.1,;50.6,111.8,60,1.3,;49.3,162.5,70,2.2,;46.7,230.8,75,3.6,;43.2,297.1,75.7,5.3,;39,362.3,75,7.2,;33.3,438.9,70,9.6,</v>
      </c>
    </row>
    <row r="46" spans="3:77" x14ac:dyDescent="0.3">
      <c r="C46" t="str">
        <f>PumpOG!B35</f>
        <v>SPSA</v>
      </c>
      <c r="D46" t="str">
        <f>PumpOG!B35</f>
        <v>SPSA</v>
      </c>
      <c r="E46" t="str">
        <f>PumpOG!A35</f>
        <v>10/8-HDM200F-METAL</v>
      </c>
      <c r="BT46" t="str">
        <f>PumpOG!$BY35</f>
        <v>10/8 AH-M;10/8 AH-M;10/8 AH-M;10/8 AH-M</v>
      </c>
      <c r="BY46" t="str" cm="1">
        <f t="array" ref="BY46">BuildCurveRawTable(E46)</f>
        <v>14.5,0,0,0.7,;14.3,25.9,30,0.7,;13.7,85,65,0.9,;13.2,115.8,70,1,;11.9,163.9,73.58,2.5,;10.2,203.3,70,4.5,;8.9,229.2,65,5.5,|33,0,0,1.3,;31.9,64.1,45,3.9,;30.8,119.5,65,4.6,;29.1,183.6,75,6.6,;27.3,230.4,77.2,8.6,;24.3,277,75,10,;21.9,313,70,11.2,;19.7,342.5,65,12.7,|57.9,0,0,4.8,;56,112.1,50,4.2,;55.1,147.8,60,5.5,;53.8,197.1,70,6.6,;51.2,255,77,9.2,;48.4,303.1,77.85,11,;42.5,374.5,75,13.4,;38.6,406.6,70,14.3,;33.8,442.3,65,15.8,|90.7,0,0,0.4,;87.6,134.3,50,4.6,;85.7,200.8,65,7.5,;82,284.6,75,10.5,;75.7,375.8,78.8,13.6,;72,416.4,77,14.9,;60.7,506.4,70,17.5,;53.1,550.7,65,19.3,</v>
      </c>
    </row>
    <row r="47" spans="3:77" x14ac:dyDescent="0.3">
      <c r="C47" t="str">
        <f>PumpOG!B36</f>
        <v>SPSA</v>
      </c>
      <c r="D47" t="str">
        <f>PumpOG!B36</f>
        <v>SPSA</v>
      </c>
      <c r="E47" t="str">
        <f>PumpOG!A36</f>
        <v>10/8-HDM200F-RUBBER</v>
      </c>
      <c r="BT47" t="str">
        <f>PumpOG!$BY36</f>
        <v>10/8 AH-R</v>
      </c>
      <c r="BY47" t="str" cm="1">
        <f t="array" ref="BY47">BuildCurveRawTable(E47)</f>
        <v>51.3,0,0,2,;51.4,50,35.5,2,;51.3,77,50,2,;50.9,113,60,2.8,;49.7,162,70,4.4,;46.9,230,75,7,;43.1,298,75.7,10.4,;39,360,75,14.2,;33.5,439.7,70,19.4,</v>
      </c>
    </row>
    <row r="48" spans="3:77" x14ac:dyDescent="0.3">
      <c r="C48" t="str">
        <f>PumpOG!B37</f>
        <v>SPSA</v>
      </c>
      <c r="D48" t="str">
        <f>PumpOG!B37</f>
        <v>SPSA</v>
      </c>
      <c r="E48" t="str">
        <f>PumpOG!A37</f>
        <v>10/8-HDP200FF-METAL</v>
      </c>
      <c r="BT48" t="str">
        <f>PumpOG!$BY37</f>
        <v>10/8-HDP200FF-METAL;10/8-HDP200FF-METAL;10/8-HDP200FF-METAL;10/8-HDP200FF-METAL</v>
      </c>
      <c r="BY48" t="str" cm="1">
        <f t="array" ref="BY48">BuildCurveRawTable(E48)</f>
        <v>14.5,0,0,0.7,;14.3,25.9,30,0.7,;13.7,85,65,0.9,;13.2,115.8,70,1,;11.9,163.9,73.58,2.6,;10.2,203.3,70,4.5,;8.9,229.2,65,5.5,|33,0,0,1.3,;31.9,64.1,45,3.9,;30.8,119.5,65,4.6,;29.1,183.6,75,6.6,;27.3,230.4,77.2,8.6,;24.3,277,75,10,;21.9,313,70,11.2,;19.7,342.5,65,12.7,|57.9,0,0,4.8,;56,112.1,50,4.2,;55.1,147.8,60,5.5,;53.8,197.1,70,6.6,;51.2,255,77,9.2,;48.4,303.1,77.85,11,;42.5,374.5,75,13.4,;38.6,406.6,70,14.3,;33.8,442.3,65,15.8,|90.7,0,0,0.4,;87.6,134.3,50,4.6,;85.7,200.8,65,7.5,;82,284.6,75,10.5,;75.7,375.8,78.8,13.6,;72,416.4,77,14.9,;60.7,506.4,70,17.5,;53.1,550.7,65,19.3,</v>
      </c>
    </row>
    <row r="49" spans="3:77" x14ac:dyDescent="0.3">
      <c r="C49" t="str">
        <f>PumpOG!B38</f>
        <v>SPSA</v>
      </c>
      <c r="D49" t="str">
        <f>PumpOG!B38</f>
        <v>SPSA</v>
      </c>
      <c r="E49" t="str">
        <f>PumpOG!A38</f>
        <v>11/4-HDF100D-METAL</v>
      </c>
      <c r="BT49" t="str">
        <f>PumpOG!$BY38</f>
        <v>4 AHF;4 AHF;4 AHF</v>
      </c>
      <c r="BY49" t="str" cm="1">
        <f t="array" ref="BY49">BuildCurveRawTable(E49)</f>
        <v>7,0,0,0.9,;7,14,45,0.9,;7,19.8,55,0.9,;6.7,24.8,60,0.9,;6.4,32.7,64,0.9,;6.1,39.2,66,0.9,;6,44.2,68.1,1,;5.7,46,66,1.1,;5,55.7,64,1.2,|39.9,0,0,0.9,;39.8,31.3,45,2,;39.4,44.6,55,2.5,;39,53.9,60,2.8,;38.3,65.4,64,3.2,;37.1,74.7,66,3.4,;36.6,82.6,67,3.6,;34.9,95.9,68.1,4.1,;33.1,109.6,67,4.5,;31.7,119.3,66,4.7,;29.7,130.8,64,5.1,|70.2,0,0,2.5,;70.5,41.3,45,3.5,;69.8,58.6,55,4.3,;69,70.8,60,4.6,;67.7,85.1,64,5.2,;66.5,96.3,66,5.5,;65.5,104.2,67,5.9,;62,125.7,68.1,6.5,;57.5,152.3,67,7,;55.6,161.3,66,7.4,;52.8,174.3,63,8,</v>
      </c>
    </row>
    <row r="50" spans="3:77" x14ac:dyDescent="0.3">
      <c r="C50" t="str">
        <f>PumpOG!B39</f>
        <v>SPSA</v>
      </c>
      <c r="D50" t="str">
        <f>PumpOG!B39</f>
        <v>SPSA</v>
      </c>
      <c r="E50" t="str">
        <f>PumpOG!A39</f>
        <v>12/10-HD250G-METAL</v>
      </c>
      <c r="BT50" t="str">
        <f>PumpOG!$BY39</f>
        <v>12/10-HD250G-METAL</v>
      </c>
      <c r="BY50" t="str" cm="1">
        <f t="array" ref="BY50">BuildCurveRawTable(E50)</f>
        <v>84.3,0,0,3.1,;84.7,104,40,3.1,;82.9,218,60,4.4,;80.3,303,70,5.2,;78,362,75,6.3,;74.5,430,78,7.6,;67,556,80,11,;60,650,78,14,</v>
      </c>
    </row>
    <row r="51" spans="3:77" x14ac:dyDescent="0.3">
      <c r="C51" t="str">
        <f>PumpOG!B40</f>
        <v>SPSA</v>
      </c>
      <c r="D51" t="str">
        <f>PumpOG!B40</f>
        <v>SPSA</v>
      </c>
      <c r="E51" t="str">
        <f>PumpOG!A40</f>
        <v>12/10-HD250G-RUBBER</v>
      </c>
      <c r="BT51" t="str">
        <f>PumpOG!$BY40</f>
        <v>12/10 AH-R</v>
      </c>
      <c r="BY51" t="str" cm="1">
        <f t="array" ref="BY51">BuildCurveRawTable(E51)</f>
        <v>44.9,0,0,2,;44.6,80,40,2,;43.9,155,60,3,;42.7,225,70,4,;41.7,272,75,5,;39.3,354,80,6,;36.6,425,81,7,;34,488,80,8,</v>
      </c>
    </row>
    <row r="52" spans="3:77" x14ac:dyDescent="0.3">
      <c r="C52" t="str">
        <f>PumpOG!B41</f>
        <v>SPSA</v>
      </c>
      <c r="D52" t="str">
        <f>PumpOG!B41</f>
        <v>SPSA</v>
      </c>
      <c r="E52" t="str">
        <f>PumpOG!A41</f>
        <v>12/10-HDM250F-METAL</v>
      </c>
      <c r="BT52" t="str">
        <f>PumpOG!$BY41</f>
        <v>12/10 AH-M</v>
      </c>
      <c r="BY52" t="str" cm="1">
        <f t="array" ref="BY52">BuildCurveRawTable(E52)</f>
        <v>84.3,0,0,3.1,;84.7,104,40,3.1,;82.9,218,60,4.4,;80.3,303,70,5.2,;78,362,75,6.3,;74.5,430,78,7.6,;67,556,80,11,;60,650,78,14,</v>
      </c>
    </row>
    <row r="53" spans="3:77" x14ac:dyDescent="0.3">
      <c r="C53" t="str">
        <f>PumpOG!B42</f>
        <v>SPSA</v>
      </c>
      <c r="D53" t="str">
        <f>PumpOG!B42</f>
        <v>SPSA</v>
      </c>
      <c r="E53" t="str">
        <f>PumpOG!A42</f>
        <v>12/10-HDM250F-RUBBER</v>
      </c>
      <c r="BT53" t="str">
        <f>PumpOG!$BY42</f>
        <v>12/10 AH-R</v>
      </c>
      <c r="BY53" t="str" cm="1">
        <f t="array" ref="BY53">BuildCurveRawTable(E53)</f>
        <v>44.9,0,0,2,;44.6,80,40,2,;43.9,155,60,3,;42.7,225,70,4,;41.7,272,75,5,;39.3,354,80,6,;36.6,425,81,7,;34,488,80,8,</v>
      </c>
    </row>
    <row r="54" spans="3:77" x14ac:dyDescent="0.3">
      <c r="C54" t="str">
        <f>PumpOG!B43</f>
        <v>SPSA</v>
      </c>
      <c r="D54" t="str">
        <f>PumpOG!B43</f>
        <v>SPSA</v>
      </c>
      <c r="E54" t="str">
        <f>PumpOG!A43</f>
        <v>12/10-HDP250FF-METAL</v>
      </c>
      <c r="BT54" t="str">
        <f>PumpOG!$BY43</f>
        <v>12/10-HDP250FF-METAL</v>
      </c>
      <c r="BY54" t="str" cm="1">
        <f t="array" ref="BY54">BuildCurveRawTable(E54)</f>
        <v>84.3,0,0,3.1,;84.7,104,40,3.1,;82.9,218,60,4.4,;80.3,303,70,5.2,;78,362,75,6.3,;74.5,430,78,7.6,;67,556,80,11,;60,650,78,14,</v>
      </c>
    </row>
    <row r="55" spans="3:77" x14ac:dyDescent="0.3">
      <c r="C55" t="str">
        <f>PumpOG!B44</f>
        <v>SPSA</v>
      </c>
      <c r="D55" t="str">
        <f>PumpOG!B44</f>
        <v>SPSA</v>
      </c>
      <c r="E55" t="str">
        <f>PumpOG!A44</f>
        <v>14/12-HD300GART-METAL</v>
      </c>
      <c r="BT55" t="str">
        <f>PumpOG!$BY44</f>
        <v>14/12-HD300GART-METAL</v>
      </c>
      <c r="BY55" t="str" cm="1">
        <f t="array" ref="BY55">BuildCurveRawTable(E55)</f>
        <v>87.7,0,0,2,;86.6,296.8,60,2.2,;85.6,387.4,68,3,;84.7,450.5,72,3.5,;83.2,543.2,76,5.5,;81.4,631.6,78,6.7,;79.5,709.5,79,8,;76.9,816.8,79.4,10,;73.3,938.9,79,12.3,;69.8,1055,78,13.5,;68,1105,77,13,</v>
      </c>
    </row>
    <row r="56" spans="3:77" x14ac:dyDescent="0.3">
      <c r="C56" t="str">
        <f>PumpOG!B45</f>
        <v>SPSA</v>
      </c>
      <c r="D56" t="str">
        <f>PumpOG!B45</f>
        <v>SPSA</v>
      </c>
      <c r="E56" t="str">
        <f>PumpOG!A45</f>
        <v>14/12-HD300G-METAL</v>
      </c>
      <c r="BT56" t="str">
        <f>PumpOG!$BY45</f>
        <v>14/12-HD300G-METAL</v>
      </c>
      <c r="BY56" t="str" cm="1">
        <f t="array" ref="BY56">BuildCurveRawTable(E56)</f>
        <v>88,0,0,2.5,;88.2,163,40,2.5,;88,225,50,3,;87.2,310,60,4.7,;84.8,460,70,7.3,;80.4,635,75,11,;74.1,810,77,15,;67.1,980,75,19.5,;59.4,1140,70,24.5,</v>
      </c>
    </row>
    <row r="57" spans="3:77" x14ac:dyDescent="0.3">
      <c r="C57" t="str">
        <f>PumpOG!B46</f>
        <v>SPSA</v>
      </c>
      <c r="D57" t="str">
        <f>PumpOG!B46</f>
        <v>SPSA</v>
      </c>
      <c r="E57" t="str">
        <f>PumpOG!A46</f>
        <v>14/12-HD300G-RUBBER</v>
      </c>
      <c r="BT57" t="str">
        <f>PumpOG!$BY46</f>
        <v>14/12-HD300G-RUBBER</v>
      </c>
      <c r="BY57" t="str" cm="1">
        <f t="array" ref="BY57">BuildCurveRawTable(E57)</f>
        <v>47,0,0,1.7,;46.6,125,40,1.7,;46.2,175,50,1.9,;45.7,226,60,2.3,;44.3,350,70,3.6,;42.7,450,75,4.6,;40.6,565,78,6,;38.8,646,79,7.3,;37.2,705.5,78,8.2,;34.5,800,75,10,;31.8,888.5,70,11.6,</v>
      </c>
    </row>
    <row r="58" spans="3:77" x14ac:dyDescent="0.3">
      <c r="C58" t="str">
        <f>PumpOG!B47</f>
        <v>SPSA</v>
      </c>
      <c r="D58" t="str">
        <f>PumpOG!B47</f>
        <v>SPSA</v>
      </c>
      <c r="E58" t="str">
        <f>PumpOG!A47</f>
        <v>14/12-HDM300F-METAL</v>
      </c>
      <c r="BT58" t="str">
        <f>PumpOG!$BY47</f>
        <v>14/12-HD300G-METAL</v>
      </c>
      <c r="BY58" t="str" cm="1">
        <f t="array" ref="BY58">BuildCurveRawTable(E58)</f>
        <v>88,0,0,2.5,;88.2,163,40,2.5,;88,225,50,3,;87.2,310,60,4.7,;84.8,460,70,7.3,;80.4,635,75,11,;74.1,810,77,15,;67.1,980,75,19.5,;59.4,1140,70,24.5,</v>
      </c>
    </row>
    <row r="59" spans="3:77" x14ac:dyDescent="0.3">
      <c r="C59" t="str">
        <f>PumpOG!B48</f>
        <v>SPSA</v>
      </c>
      <c r="D59" t="str">
        <f>PumpOG!B48</f>
        <v>SPSA</v>
      </c>
      <c r="E59" t="str">
        <f>PumpOG!A48</f>
        <v>14/12-HDM300F-RUBBER</v>
      </c>
      <c r="BT59" t="str">
        <f>PumpOG!$BY48</f>
        <v>14/12 AH-R</v>
      </c>
      <c r="BY59" t="str" cm="1">
        <f t="array" ref="BY59">BuildCurveRawTable(E59)</f>
        <v>47,0,0,1.7,;46.6,125,40,1.7,;46.2,175,50,1.9,;45.7,226,60,2.3,;44.3,350,70,3.6,;42.7,450,75,4.6,;40.6,565,78,6,;38.8,646,79,7.3,;37.2,705.5,78,8.2,;34.5,800,75,10,;31.8,888.5,70,11.6,</v>
      </c>
    </row>
    <row r="60" spans="3:77" x14ac:dyDescent="0.3">
      <c r="C60" t="str">
        <f>PumpOG!B49</f>
        <v>SPSA</v>
      </c>
      <c r="D60" t="str">
        <f>PumpOG!B49</f>
        <v>SPSA</v>
      </c>
      <c r="E60" t="str">
        <f>PumpOG!A49</f>
        <v>14/12-HDP300GP-METAL</v>
      </c>
      <c r="BT60" t="str">
        <f>PumpOG!$BY49</f>
        <v>14/12-HDP300GP-METAL</v>
      </c>
      <c r="BY60" t="str" cm="1">
        <f t="array" ref="BY60">BuildCurveRawTable(E60)</f>
        <v>88,0,0,2.5,;88.2,163,40,2.5,;88,225,50,3,;87.2,310,60,4.7,;84.8,460,70,7.3,;80.4,635,75,11,;74.1,810,77,15,;67.1,980,75,19.5,;59.4,1140,70,24.5,</v>
      </c>
    </row>
    <row r="61" spans="3:77" x14ac:dyDescent="0.3">
      <c r="C61" t="str">
        <f>PumpOG!B50</f>
        <v>SPSA</v>
      </c>
      <c r="D61" t="str">
        <f>PumpOG!B50</f>
        <v>SPSA</v>
      </c>
      <c r="E61" t="str">
        <f>PumpOG!A50</f>
        <v>15/6-HDF150E-METAL</v>
      </c>
      <c r="BT61" t="str">
        <f>PumpOG!$BY50</f>
        <v>6 AHF;6 AHF;6 AHF</v>
      </c>
      <c r="BY61" t="str" cm="1">
        <f t="array" ref="BY61">BuildCurveRawTable(E61)</f>
        <v>11,0,0,1.1,;10.3,37.7,40,1.3,;10.2,53.5,50,1.4,;10.2,63.3,55,1.5,;10,80.3,60,1.6,;9.9,100.4,65,2.2,;9.6,112,67,2.3,;9.3,120.5,67.6,2.4,;9,130.8,67,2.6,;8.4,142.4,65,2.8,;7.4,157.6,60,3,;6.7,165.5,58,3.3,|26.5,0,0,1.1,;25.1,59,40,1.46,;24.8,82.8,50,1.8,;24.6,98.6,55,2.2,;24.3,118.7,60,2.4,;23.8,147.9,65,2.8,;23.2,169.8,67,3.3,;22.3,189.9,67.6,3.5,;21.5,205.7,67,3.8,;20,226.4,65,4,;17.7,250.7,60,4.7,;16.3,261.7,58,5,|39.1,0,0,1.1,;36.9,71.8,40,1.6,;36.5,100.4,50,2.1,;36.2,120.5,55,2.4,;35.9,143.6,60,3.8,;35.1,178.9,65,3.3,;34.2,204.5,67,3.7,;33,227.6,67.6,4,;31.4,251.3,67,4.5,;29.4,275.7,65,5.3,;26.2,306.1,60,5.5,</v>
      </c>
    </row>
    <row r="62" spans="3:77" x14ac:dyDescent="0.3">
      <c r="C62" t="str">
        <f>PumpOG!B51</f>
        <v>SPSA</v>
      </c>
      <c r="D62" t="str">
        <f>PumpOG!B51</f>
        <v>SPSA</v>
      </c>
      <c r="E62" t="str">
        <f>PumpOG!A51</f>
        <v>16/14-HD350H-METAL</v>
      </c>
      <c r="BT62" t="str">
        <f>PumpOG!$BY51</f>
        <v>16/14-HD350H-METAL</v>
      </c>
      <c r="BY62" t="str" cm="1">
        <f t="array" ref="BY62">BuildCurveRawTable(E62)</f>
        <v>62,0,0,4.1,;63.5,220,50,4.1,;63.55,305,60,4.1,;62.8,442,70,4.5,;61.7,558,75,5.3,;59.2,740,80,6.7,;54,980,82,10,;49,1185,80,13.8,</v>
      </c>
    </row>
    <row r="63" spans="3:77" x14ac:dyDescent="0.3">
      <c r="C63" t="str">
        <f>PumpOG!B52</f>
        <v>SPSA</v>
      </c>
      <c r="D63" t="str">
        <f>PumpOG!B52</f>
        <v>SPSA</v>
      </c>
      <c r="E63" t="str">
        <f>PumpOG!A52</f>
        <v>16/14-HD350H-RUBBER</v>
      </c>
      <c r="BT63" t="str">
        <f>PumpOG!$BY52</f>
        <v>16/14-HD350H-RUBBER</v>
      </c>
      <c r="BY63" t="str" cm="1">
        <f t="array" ref="BY63">BuildCurveRawTable(E63)</f>
        <v>42.3,0,0,3.3,;43.2,190,50,3.3,;43.15,257,60,3.5,;42.5,370,70,4,;41.7,453,75,4.5,;39.8,605,80,5.8,;36.3,800,82,8,;32,1000,80,10.5,</v>
      </c>
    </row>
    <row r="64" spans="3:77" x14ac:dyDescent="0.3">
      <c r="C64" t="str">
        <f>PumpOG!B53</f>
        <v>SPSA</v>
      </c>
      <c r="D64" t="str">
        <f>PumpOG!B53</f>
        <v>SPSA</v>
      </c>
      <c r="E64" t="str">
        <f>PumpOG!A53</f>
        <v>16/14-HDM350G-METAL</v>
      </c>
      <c r="BT64" t="str">
        <f>PumpOG!$BY53</f>
        <v>16/14 AH-M</v>
      </c>
      <c r="BY64" t="str" cm="1">
        <f t="array" ref="BY64">BuildCurveRawTable(E64)</f>
        <v>62,0,0,4.1,;63.5,220,50,4.1,;63.55,305,60,4.1,;62.8,442,70,4.5,;61.7,558,75,5.3,;59.2,740,80,6.7,;54,980,82,10,;49,1185,80,13.8,</v>
      </c>
    </row>
    <row r="65" spans="3:77" x14ac:dyDescent="0.3">
      <c r="C65" t="str">
        <f>PumpOG!B54</f>
        <v>SPSA</v>
      </c>
      <c r="D65" t="str">
        <f>PumpOG!B54</f>
        <v>SPSA</v>
      </c>
      <c r="E65" t="str">
        <f>PumpOG!A54</f>
        <v>16/14-HDM350G-RUBBER</v>
      </c>
      <c r="BT65" t="str">
        <f>PumpOG!$BY54</f>
        <v>16/14 AH-R</v>
      </c>
      <c r="BY65" t="str" cm="1">
        <f t="array" ref="BY65">BuildCurveRawTable(E65)</f>
        <v>42.3,0,0,3.3,;43.2,190,50,3.3,;43.15,257,60,3.5,;42.5,370,70,4,;41.7,453,75,4.5,;39.8,605,80,5.8,;36.3,800,82,8,;32,1000,80,10.5,</v>
      </c>
    </row>
    <row r="66" spans="3:77" x14ac:dyDescent="0.3">
      <c r="C66" t="str">
        <f>PumpOG!B55</f>
        <v>SPSA</v>
      </c>
      <c r="D66" t="str">
        <f>PumpOG!B55</f>
        <v>SPSA</v>
      </c>
      <c r="E66" t="str">
        <f>PumpOG!A55</f>
        <v xml:space="preserve">2 AHF </v>
      </c>
      <c r="BT66" t="str">
        <f>PumpOG!$BY55</f>
        <v>2 AHF;2 AHF;2 AHF</v>
      </c>
      <c r="BY66" t="str" cm="1">
        <f t="array" ref="BY66">BuildCurveRawTable(E66)</f>
        <v>8.4,0,0,2,;8.3,3.9,30,2,;8.3,5.7,40,2,;8.2,6.8,45,2,;8.1,8.2,50,2,;8,9.4,53,2.2,;7.8,10.7,55,2.3,;7.7,12.6,56.6,2.5,;7.3,15.1,55,2.8,;7.3,17.3,53,3.4,|33.8,0,0,2,;33.5,7.8,30,2,;33,11.4,40,2.4,;32.7,13.7,45,2.6,;32.1,16.5,50,3.2,;31.6,18.9,53,3.5,;31.1,21.3,55,3.9,;30.1,25.8,56.6,4.8,;28.8,30.8,55,6,;28.1,33.6,53,6.5,;27.8,35.6,52,51,|57.1,0,0,2,;56.5,10.1,30,2.3,;55.7,14.9,40,2.6,;55.1,17.8,45,3.4,;54.2,21.4,50,4,;53.2,24.4,53,4.5,;52.4,27.4,55,5.3,;50.6,33.3,56.6,6.3,;48.6,40.1,55,7,;47.4,43.9,53,7.4,;47,45.2,52,7.5,</v>
      </c>
    </row>
    <row r="67" spans="3:77" x14ac:dyDescent="0.3">
      <c r="C67" t="str">
        <f>PumpOG!B56</f>
        <v>SPSA</v>
      </c>
      <c r="D67" t="str">
        <f>PumpOG!B56</f>
        <v>SPSA</v>
      </c>
      <c r="E67" t="str">
        <f>PumpOG!A56</f>
        <v>2/1.5-HD42B-METAL</v>
      </c>
      <c r="BT67" t="str">
        <f>PumpOG!$BY56</f>
        <v>2/1.5 AH-M;2/1.5 AH-M;2/1.5 AH-M;2/1.5 AH-M;2/1.5 AH-M;2/1.5 AH-M</v>
      </c>
      <c r="BY67" t="str" cm="1">
        <f t="array" ref="BY67">BuildCurveRawTable(E67)</f>
        <v>8.2,0,0,1.2,;8.3,2.4,20,1.4,;7.7,4.5,30,1.4,;7,6.1,35,1.4,;4.2,9,36,1.7,|16,0,0,0,;15.2,2.4,20,2.8,;14.6,4.2,30,2.9,;14,5.5,35,1.4,;11.7,9.5,40.2,4.1,;8.8,12,38,5.2,|24.5,0,0,0,;24.2,2.4,20,2.8,;23.8,4,30,2.9,;22.4,6.6,40,3.1,;18.6,11.2,45,4.8,;14.9,14.4,40,7.1,;14.4,14.8,39,7.4,|36,0,0,0,;35.2,2.4,20,2.8,;34.5,4,30,2.9,;33.1,6.5,40,2.9,;31.5,8.8,45,4.1,;26.2,13.6,46.75,6.4,;20.2,17.6,39.8,9.8,|48,0,0,3.2,;47.6,2.7,20,2.8,;46.7,5.6,35,2.8,;43.7,9.8,45,4.3,;36.3,15.9,46,8.4,;26.9,20.8,39.8,12.8,|63.1,0,0,3.2,;62.3,3.3,20,2.8,;61.2,5.8,30,2.6,;58.9,9.3,40,3.6,;55.6,12.4,45,5.7,;47.3,18.1,47.32,10,;34.2,24.1,39.8,17.1,</v>
      </c>
    </row>
    <row r="68" spans="3:77" x14ac:dyDescent="0.3">
      <c r="C68" t="str">
        <f>PumpOG!B57</f>
        <v>SPSA</v>
      </c>
      <c r="D68" t="str">
        <f>PumpOG!B57</f>
        <v>SPSA</v>
      </c>
      <c r="E68" t="str">
        <f>PumpOG!A57</f>
        <v>2/1.5-HD42B-RUBBER</v>
      </c>
      <c r="BT68" t="str">
        <f>PumpOG!$BY57</f>
        <v>2/1.5 AH-R;2/1.5 AH-R;2/1.5 AH-R;2/1.5 AH-R;2/1.5 AH-R;2/1.5 AH-R</v>
      </c>
      <c r="BY68" t="str" cm="1">
        <f t="array" ref="BY68">BuildCurveRawTable(E68)</f>
        <v>7.2,0,0,0,;7.2,1.1,20,0.8,;7.1,1.9,30,0.9,;7,2.8,40,1,;5.8,5.6,43,1.3,;4.7,7.4,40.55,1.6,|10,0,0,2.2,;10,1.4,20,2.2,;10,2.2,30,2.1,;9.6,3.3,40,2.2,;8.6,5.8,45,2.4,;8.2,6.8,46,2.7,;6.3,9.2,42.5,3.3,|17.4,0,0,2.2,;16.7,1.8,20,2.2,;16.2,2.9,30,2.3,;15.9,4.3,40,2.2,;15.3,5.8,45,2.4,;14.5,7.4,50,2.8,;13.5,9,50.15,3.3,;11.6,10.9,49.98,4.2,|27.5,0,0,0.2,;26.6,2.3,20,2.2,;25.9,3.7,30,2.2,;25.1,5.7,40,2.4,;23.3,8.9,50,3.4,;21.2,11.3,50.95,4.8,;18.5,13.5,49.8,6,|38.2,0,0,2.2,;37,2.7,20,2.1,;34.9,6.8,40,2.6,;33.8,8.5,44,3.2,;29.8,13,50.9,5.7,;26.8,15.5,49.97,8,|44.6,0,0,2.2,;44,2.9,20,2.2,;43.2,4.8,30,2.3,;41.4,7.4,40.5,2.8,;40,9.4,43.8,3.5,;37.4,11.9,51.5,5,;35.2,13.8,50.8,6.5,;32.1,16.5,50,9.3,</v>
      </c>
    </row>
    <row r="69" spans="3:77" x14ac:dyDescent="0.3">
      <c r="C69" t="str">
        <f>PumpOG!B58</f>
        <v>SPSA</v>
      </c>
      <c r="D69" t="str">
        <f>PumpOG!B58</f>
        <v>SPSA</v>
      </c>
      <c r="E69" t="str">
        <f>PumpOG!A58</f>
        <v>2/2-CT50B-METAL</v>
      </c>
      <c r="BT69" t="str">
        <f>PumpOG!$BY58</f>
        <v>2/2-CT50B-METAL</v>
      </c>
      <c r="BY69" t="str" cm="1">
        <f t="array" ref="BY69">BuildCurveRawTable(E69)</f>
        <v>23.5,0,0,0,;22.7,3.4,20,0,;22,6.2,30,0,;21.3,8.2,35,0,;19.7,12.1,40,0,;18.1,15,41,0,;16.2,17.6,39.89,0,</v>
      </c>
    </row>
    <row r="70" spans="3:77" x14ac:dyDescent="0.3">
      <c r="C70" t="str">
        <f>PumpOG!B59</f>
        <v>SPSA</v>
      </c>
      <c r="D70" t="str">
        <f>PumpOG!B59</f>
        <v>SPSA</v>
      </c>
      <c r="E70" t="str">
        <f>PumpOG!A59</f>
        <v>2/2-CT50C-METAL</v>
      </c>
      <c r="BT70" t="str">
        <f>PumpOG!$BY59</f>
        <v>2/2-CT50C-METAL</v>
      </c>
      <c r="BY70" t="str" cm="1">
        <f t="array" ref="BY70">BuildCurveRawTable(E70)</f>
        <v>23.5,0,0,0,;22.7,3.4,20,0,;22,6.2,30,0,;21.3,8.2,35,0,;19.7,12.1,40,0,;18.1,15,41,0,;16.2,17.6,39.89,0,</v>
      </c>
    </row>
    <row r="71" spans="3:77" x14ac:dyDescent="0.3">
      <c r="C71" t="str">
        <f>PumpOG!B60</f>
        <v>SPSA</v>
      </c>
      <c r="D71" t="str">
        <f>PumpOG!B60</f>
        <v>SPSA</v>
      </c>
      <c r="E71" t="str">
        <f>PumpOG!A60</f>
        <v>20/18-HDM450G-METAL</v>
      </c>
      <c r="BT71" t="str">
        <f>PumpOG!$BY60</f>
        <v>20/18-HDM450G-METAL;20/18-HDM450G-METAL;20/18-HDM450G-METAL;20/18-HDM450G-METAL;20/18-HDM450G-METAL</v>
      </c>
      <c r="BY71" t="str" cm="1">
        <f t="array" ref="BY71">BuildCurveRawTable(E71)</f>
        <v>14.6,0,0,0.8,;14.8,114.5,40,0.7,;14.8,159.5,50,0.8,;14.6,224.9,60,0.8,;14.5,319,70,1.2,;14.1,400.8,75,1.3,;13.4,511.2,80,1.6,;12.7,617.6,83,1.9,;11.9,756.6,85,2.3,;10.7,948.9,82.8,2.8,|22.9,0,0,0,;23.2,154.8,40,0,;23.1,203.7,50,0,;22.9,285.1,60,0,;22.5,403.3,70,0,;21.8,505.1,75,0,;20.8,643.6,80,0,;20,773.9,83,0,;18.4,953.2,85,0,;16.7,1185,83,0,|33,0,0,0,;33.4,179.2,40,0,;33.4,240.3,50,0,;33,342.2,60,0,;32.5,484.7,70,0,;31.7,606.9,75,0,;30.3,773.9,80,0,;28.9,928.7,83,0,;26.7,1145,85,0,;24.1,1418,83,0,|45.1,0,0,0,;45.6,207.7,40,0,;45.4,281.1,50,0,;45.1,395.1,60,0,;44.2,566.2,70,0,;43,708.8,75,0,;41.3,900.2,80,0,;39.2,1084,83,0,;36.1,1340,85,0,;32.9,1658,83,0,|73.3,0,0,3.3,;73.8,260.7,40,3.4,;73.5,366.6,50,3.5,;73.1,513.2,60,3.8,;71.9,716.9,70,4.5,;70,904.3,75,5.4,;66.6,1169,80,7,;63.3,1397,83,8.5,;58.3,1723,85,10.4,;52.8,2045,83,11.5,</v>
      </c>
    </row>
    <row r="72" spans="3:77" x14ac:dyDescent="0.3">
      <c r="C72" t="str">
        <f>PumpOG!B61</f>
        <v>SPSA</v>
      </c>
      <c r="D72" t="str">
        <f>PumpOG!B61</f>
        <v>SPSA</v>
      </c>
      <c r="E72" t="str">
        <f>PumpOG!A61</f>
        <v>22/8-HDF200F-METAL</v>
      </c>
      <c r="BT72" t="str">
        <f>PumpOG!$BY61</f>
        <v>8 AHF;8 AHF;8 AHF</v>
      </c>
      <c r="BY72" t="str" cm="1">
        <f t="array" ref="BY72">BuildCurveRawTable(E72)</f>
        <v>14.8,0,0,1.8,;14.8,64,40,1.8,;14.9,90.5,50,1.8,;14.8,135.2,60,1.8,;14.5,171.4,64,1.8,;14.1,199.2,66,1.8,;13.8,225.8,66.5,1.8,;13.1,262,66,1.9,;12.1,298.2,64,2,|33,0,0,2.4,;33.4,90.5,40,2.6,;33.3,129.2,50,2.7,;32.9,188.3,60,2.9,;32.5,230.6,64,3,;31.9,266.8,66,3.3,;31.2,298.2,67,3.5,;30.2,344.1,67.7,3.7,;29,380.3,67,3.9,;27.7,420.1,66,4.1,;26.1,467.2,64,4.4,|58.3,0,0,4,;58.8,118.3,40,4.4,;58.8,167.8,50,4.5,;58.3,243.9,60,5,;57.4,295.8,64,5.3,;56.4,339.2,66,5.6,;55.5,375.5,67,5.7,;53.3,443.1,67.7,6.2,;50.3,517.9,67,6.5,;48.1,561.4,66,6.8,;45.9,601.2,64,7,</v>
      </c>
    </row>
    <row r="73" spans="3:77" x14ac:dyDescent="0.3">
      <c r="C73" t="str">
        <f>PumpOG!B62</f>
        <v>SPSA</v>
      </c>
      <c r="D73" t="str">
        <f>PumpOG!B62</f>
        <v>SPSA</v>
      </c>
      <c r="E73" t="str">
        <f>PumpOG!A62</f>
        <v>3 AHF</v>
      </c>
      <c r="BT73" t="str">
        <f>PumpOG!$BY62</f>
        <v>3 AHF;3 AHF;3 AHF</v>
      </c>
      <c r="BY73" t="str" cm="1">
        <f t="array" ref="BY73">BuildCurveRawTable(E73)</f>
        <v>7,0,0,0,;7.1,5.9,30,0,;7.1,8.7,40,0,;7,12.3,50,0,;7,14.4,55,0,;6.9,16.2,58,0,;6.8,18.5,60,0,;6.6,22.6,61.9,0,;6.2,26.2,60,0,;5.9,28.8,58,0,;5.8,30.3,57,0,|28.1,0,0,0,;28.4,12.3,30,0,;28.4,17.5,40,0,;28,24.2,50,0,;27.8,28.8,55,0,;27.4,32.7,58,0,;27.1,36.2,60,0,;26.1,44.5,61.9,0,;24.9,52.8,60,0,;24.3,57.1,58,0,;23.6,61.5,57,0,|52.9,0,0,1.8,;53.6,17,30,1.8,;53.5,24.4,40,2.5,;53,33.9,50,2.5,;52.4,40.1,55,3.4,;51.9,45.2,58,3.8,;51.2,49.9,60,4.3,;49.5,61.3,61.9,4.5,;47.1,72.8,60,5.4,;45.8,78.5,58,6.3,;44.6,82.6,52,6.5,</v>
      </c>
    </row>
    <row r="74" spans="3:77" x14ac:dyDescent="0.3">
      <c r="C74" t="str">
        <f>PumpOG!B63</f>
        <v>SPSA</v>
      </c>
      <c r="D74" t="str">
        <f>PumpOG!B63</f>
        <v>SPSA</v>
      </c>
      <c r="E74" t="str">
        <f>PumpOG!A63</f>
        <v>3/2-HD50C-METAL</v>
      </c>
      <c r="BT74" t="str">
        <f>PumpOG!$BY63</f>
        <v>3/2 AH-M</v>
      </c>
      <c r="BY74" t="str" cm="1">
        <f t="array" ref="BY74">BuildCurveRawTable(E74)</f>
        <v>88,0,0,3,;88.8,7.2,30,3,;88.5,11.1,40,4,;87.3,16.6,50,6.5,;85.5,20.9,55,8,;82.3,27.2,60,11.5,;79.85,31.1,62,13.5,;75.1,38,63.5,17.6,;69,44.3,62,0,;66,47,60,0,</v>
      </c>
    </row>
    <row r="75" spans="3:77" x14ac:dyDescent="0.3">
      <c r="C75" t="str">
        <f>PumpOG!B64</f>
        <v>SPSA</v>
      </c>
      <c r="D75" t="str">
        <f>PumpOG!B64</f>
        <v>SPSA</v>
      </c>
      <c r="E75" t="str">
        <f>PumpOG!A64</f>
        <v>3/2-HD50C-METAL 2V</v>
      </c>
      <c r="BT75" t="str">
        <f>PumpOG!$BY64</f>
        <v>HD50 (2VO-M);HD50 (2VO-M);HD50 (2VO-M);HD50 (2VO-M)</v>
      </c>
      <c r="BY75" t="str" cm="1">
        <f t="array" ref="BY75">BuildCurveRawTable(E75)</f>
        <v>17.9,0,0,0.1,;16.8,4.1,30,0.1,;16.4,5.5,35,0.1,;14.9,7.5,40,0.1,;13.4,9.6,41.75,0.1,;11.9,11,40,0.1,|28.5,0,0,0.5,;27.4,4.7,30,0.7,;26.8,6,35,0.6,;25.7,7.9,40,0.7,;24.2,9.8,43,0.7,;22.8,11.2,43.85,0.8,;20.6,13.2,43,0.9,;18.7,14.4,40,0.9,|41.5,0,0,1.5,;40.2,5.2,30,1.7,;39.6,6.6,35,1.8,;38.5,8.6,40,1.9,;37.4,10.3,43,2,;36.6,11.1,44,2,;35.3,12.4,45,2.1,;33.6,13.7,45.45,2.2,;32.1,15,43,2.4,;30,16.2,44,2.5,;28.7,17,43,2.7,;26.6,18.1,40,2.9,|56.8,0,0,2.9,;55.7,5.4,30,3.5,;54.9,7.1,35,3.6,;53.8,9.6,40,3.8,;51.7,11.9,43,4,;50.6,13.1,44,4.2,;48.7,14.6,45,4.3,;44.3,17.8,46,5,;39.8,20.1,45,5.5,;37.4,21.4,44,5.9,;35.7,22.1,43,6,</v>
      </c>
    </row>
    <row r="76" spans="3:77" x14ac:dyDescent="0.3">
      <c r="C76" t="str">
        <f>PumpOG!B65</f>
        <v>SPSA</v>
      </c>
      <c r="D76" t="str">
        <f>PumpOG!B65</f>
        <v>SPSA</v>
      </c>
      <c r="E76" t="str">
        <f>PumpOG!A65</f>
        <v>3/2-HD50C-METAL 6V</v>
      </c>
      <c r="BT76" t="str">
        <f>PumpOG!$BY65</f>
        <v>3/2-HD50C-METAL 6V;3/2-HD50C-METAL 6V</v>
      </c>
      <c r="BY76" t="str" cm="1">
        <f t="array" ref="BY76">BuildCurveRawTable(E76)</f>
        <v>56.8,0,0,0,;56,8.5,40,0,;54.9,12.5,50,0,;53.7,15.3,55,0,;51.8,19.5,60,0,;45.3,28.9,64.98,0,;36.5,37.2,58.96,0,|88,0,0,3,;85.7,10.4,40,3.7,;84.1,15.5,50,4.5,;82.4,19.1,55,5.2,;79.9,23.7,60,6.3,;74.8,30.3,65,8.6,;69.2,36.1,67,10.4,;62.5,41.9,65,13.1,;57.2,46,60,15.2,</v>
      </c>
    </row>
    <row r="77" spans="3:77" x14ac:dyDescent="0.3">
      <c r="C77" t="str">
        <f>PumpOG!B66</f>
        <v>SPSA</v>
      </c>
      <c r="D77" t="str">
        <f>PumpOG!B66</f>
        <v>SPSA</v>
      </c>
      <c r="E77" t="str">
        <f>PumpOG!A66</f>
        <v>3/2-HD50C-RUBBER</v>
      </c>
      <c r="BT77" t="str">
        <f>PumpOG!$BY66</f>
        <v>3/2 AH-R</v>
      </c>
      <c r="BY77" t="str" cm="1">
        <f t="array" ref="BY77">BuildCurveRawTable(E77)</f>
        <v>48,0,0,3.1,;48.4,6.2,40,3.45,;48,8,45,3.5,;47.5,9.5,50,3.4,;46.4,11.9,55,3.5,;44.5,15.25,60,3.8,;40.2,21.2,62,4.25,;36,26.1,60,5,</v>
      </c>
    </row>
    <row r="78" spans="3:77" x14ac:dyDescent="0.3">
      <c r="C78" t="str">
        <f>PumpOG!B67</f>
        <v>SPSA</v>
      </c>
      <c r="D78" t="str">
        <f>PumpOG!B67</f>
        <v>SPSA</v>
      </c>
      <c r="E78" t="str">
        <f>PumpOG!A67</f>
        <v>3/2-HHD50D-METAL</v>
      </c>
      <c r="BT78" t="str">
        <f>PumpOG!$BY67</f>
        <v>3/2 HH-M</v>
      </c>
      <c r="BY78" t="str" cm="1">
        <f t="array" ref="BY78">BuildCurveRawTable(E78)</f>
        <v>86.9,0,0,1.4,;86.6,8.4,20,1.4,;86.9,14.1,30,1.5,;86.3,22.4,40,2.8,;84.1,28.6,45,4.5,;75.8,38.6,46.8,8.3,;71.7,41.5,47,9.7,</v>
      </c>
    </row>
    <row r="79" spans="3:77" x14ac:dyDescent="0.3">
      <c r="C79" t="str">
        <f>PumpOG!B68</f>
        <v>SPSA</v>
      </c>
      <c r="D79" t="str">
        <f>PumpOG!B68</f>
        <v>SPSA</v>
      </c>
      <c r="E79" t="str">
        <f>PumpOG!A68</f>
        <v>4 AHF</v>
      </c>
      <c r="BT79" t="str">
        <f>PumpOG!$BY68</f>
        <v>4 AHF;4 AHF;4 AHF</v>
      </c>
      <c r="BY79" t="str" cm="1">
        <f t="array" ref="BY79">BuildCurveRawTable(E79)</f>
        <v>7,0,0,0.9,;7,14,45,0.9,;7,19.8,55,0.9,;6.7,24.8,60,0.9,;6.4,32.7,64,0.9,;6.1,39.2,66,0.9,;6,44.2,68.1,1,;5.7,46,66,1.1,;5,55.7,64,1.2,|39.9,0,0,0.9,;39.8,31.3,45,2,;39.4,44.6,55,2.5,;39,53.9,60,2.8,;38.3,65.4,64,3.2,;37.1,74.7,66,3.4,;36.6,82.6,67,3.6,;34.9,95.9,68.1,4.1,;33.1,109.6,67,4.5,;31.7,119.3,66,4.7,;29.7,130.8,64,5.1,|70.2,0,0,2.5,;70.5,41.3,45,3.5,;69.8,58.6,55,4.3,;69,70.8,60,4.6,;67.7,85.1,64,5.2,;66.5,96.3,66,5.5,;65.5,104.2,67,5.9,;62,125.7,68.1,6.5,;57.5,152.3,67,7,;55.6,161.3,66,7.4,;52.8,174.3,63,8,</v>
      </c>
    </row>
    <row r="80" spans="3:77" x14ac:dyDescent="0.3">
      <c r="C80" t="str">
        <f>PumpOG!B69</f>
        <v>SPSA</v>
      </c>
      <c r="D80" t="str">
        <f>PumpOG!B69</f>
        <v>SPSA</v>
      </c>
      <c r="E80" t="str">
        <f>PumpOG!A69</f>
        <v>4/3-HD80D-METAL</v>
      </c>
      <c r="BT80" t="str">
        <f>PumpOG!$BY69</f>
        <v>4/3 AH-M</v>
      </c>
      <c r="BY80" t="str" cm="1">
        <f t="array" ref="BY80">BuildCurveRawTable(E80)</f>
        <v>82,0,0,2.5,;81.6,10.5,30,2.5,;81,16,40,2.5,;80,23,50,3,;77,36,60,4.1,;73.4,48,65,6.3,;64,69,68,11,;55,84.3,65,16,</v>
      </c>
    </row>
    <row r="81" spans="3:77" x14ac:dyDescent="0.3">
      <c r="C81" t="str">
        <f>PumpOG!B70</f>
        <v>SPSA</v>
      </c>
      <c r="D81" t="str">
        <f>PumpOG!B70</f>
        <v>SPSA</v>
      </c>
      <c r="E81" t="str">
        <f>PumpOG!A70</f>
        <v>4/3-HD80D-METAL 6V</v>
      </c>
      <c r="BT81" t="str">
        <f>PumpOG!$BY70</f>
        <v>4/3-HD80D-METAL 6V</v>
      </c>
      <c r="BY81" t="str" cm="1">
        <f t="array" ref="BY81">BuildCurveRawTable(E81)</f>
        <v>94.8,0,0,4,;95.2,11,30,4.2,;95,16.1,40,4.5,;94.6,23.2,50,5.5,;92.5,32.9,60,6.8,;88.3,47.2,68,9,;84.3,58.4,72,10.8,;77.2,72.1,74.5,13.7,;69.7,87.4,71.89,17,</v>
      </c>
    </row>
    <row r="82" spans="3:77" x14ac:dyDescent="0.3">
      <c r="C82" t="str">
        <f>PumpOG!B71</f>
        <v>SPSA</v>
      </c>
      <c r="D82" t="str">
        <f>PumpOG!B71</f>
        <v>SPSA</v>
      </c>
      <c r="E82" t="str">
        <f>PumpOG!A71</f>
        <v>4/3-HD80D-RUBBER</v>
      </c>
      <c r="BT82" t="str">
        <f>PumpOG!$BY71</f>
        <v>4/3 AH-R;4/3 AH-R;4/3 AH-R;4/3 AH-R</v>
      </c>
      <c r="BY82" t="str" cm="1">
        <f t="array" ref="BY82">BuildCurveRawTable(E82)</f>
        <v>7.1,0,0,0.6,;7.2,3.1,30,0.5,;7.2,4.5,40,0.7,;7.1,7,50,0.8,;6.8,10.9,60,1.2,;6.1,16.5,62,1.6,;4.6,22.5,60,2.1,|15.2,0,0,0.65,;15.5,4.1,30,2,;15.5,9.3,50,1.8,;15.1,14,60,2.1,;13.2,24.5,64.9,3.7,;10.1,34.2,59.8,5.7,|27.3,0,0,2,;27.7,5.7,30,2,;27.8,7.9,40,2,;27.7,12.3,50,2.1,;27,18.4,60,2.9,;26.2,22.5,65,3.3,;23.4,32.8,67,5.3,;19.6,42.4,65,7.6,;18,46,60,8.6,|34.8,0,0,1.9,;35.2,6.5,30,2,;35.2,9,40,2,;34.9,13.9,50,2.2,;34,21,60,3.2,;33.1,25.9,65,4,;29.8,36.8,68,6.4,;25.1,47.3,65,9.1,;22.9,51.9,59.9,10.5,</v>
      </c>
    </row>
    <row r="83" spans="3:77" x14ac:dyDescent="0.3">
      <c r="C83" t="str">
        <f>PumpOG!B72</f>
        <v>SPSA</v>
      </c>
      <c r="D83" t="str">
        <f>PumpOG!B72</f>
        <v>SPSA</v>
      </c>
      <c r="E83" t="str">
        <f>PumpOG!A72</f>
        <v>4/3-HDM80C-METAL</v>
      </c>
      <c r="BT83" t="str">
        <f>PumpOG!$BY72</f>
        <v>4/3 AH-M</v>
      </c>
      <c r="BY83" t="str" cm="1">
        <f t="array" ref="BY83">BuildCurveRawTable(E83)</f>
        <v>82,0,0,2.5,;81.6,10.5,30,2.5,;81,16,40,2.5,;80,23,50,3,;77,36,60,4.1,;73.4,48,65,6.3,;64,69,68,11,;55,84.3,65,16,</v>
      </c>
    </row>
    <row r="84" spans="3:77" x14ac:dyDescent="0.3">
      <c r="C84" t="str">
        <f>PumpOG!B73</f>
        <v>SPSA</v>
      </c>
      <c r="D84" t="str">
        <f>PumpOG!B73</f>
        <v>SPSA</v>
      </c>
      <c r="E84" t="str">
        <f>PumpOG!A73</f>
        <v>4/3-HDM80C-RUBBER</v>
      </c>
      <c r="BT84" t="str">
        <f>PumpOG!$BY73</f>
        <v>4/3-HDM80C-RUBBER;4/3-HDM80C-RUBBER;4/3-HDM80C-RUBBER;4/3-HDM80C-RUBBER</v>
      </c>
      <c r="BY84" t="str" cm="1">
        <f t="array" ref="BY84">BuildCurveRawTable(E84)</f>
        <v>7.1,0,0,0.6,;7.2,3.1,30,0.5,;7.2,4.5,40,0.7,;7.1,7,50,0.8,;6.8,10.9,60,1.2,;6.1,16.5,62,1.6,;4.6,22.5,60,2.1,|15.2,0,0,0.65,;15.5,4.1,30,2,;15.5,9.3,50,1.8,;15.1,14,60,2.1,;13.2,24.5,64.9,3.7,;10.1,34.2,59.8,5.7,|27.3,0,0,2,;27.7,5.7,30,2,;27.8,7.9,40,2,;27.7,12.3,50,2.1,;27,18.4,60,2.9,;26.2,22.5,65,3.3,;23.4,32.8,67,5.3,;19.6,42.4,65,7.6,;18,46,60,8.6,|34.8,0,0,1.9,;35.2,6.5,30,2,;35.2,9,40,2,;34.9,13.9,50,2.2,;34,21,60,3.2,;33.1,25.9,65,4,;29.8,36.8,68,6.4,;25.1,47.3,65,9.1,;22.9,51.9,59.9,10.5,</v>
      </c>
    </row>
    <row r="85" spans="3:77" x14ac:dyDescent="0.3">
      <c r="C85" t="str">
        <f>PumpOG!B74</f>
        <v>SPSA</v>
      </c>
      <c r="D85" t="str">
        <f>PumpOG!B74</f>
        <v>SPSA</v>
      </c>
      <c r="E85" t="str">
        <f>PumpOG!A74</f>
        <v>4/3-HDP80DD-METAL</v>
      </c>
      <c r="BT85" t="str">
        <f>PumpOG!$BY74</f>
        <v>4/3 AH-M</v>
      </c>
      <c r="BY85" t="str" cm="1">
        <f t="array" ref="BY85">BuildCurveRawTable(E85)</f>
        <v>82,0,0,2.5,;81.6,10.5,30,2.5,;81,16,40,2.5,;80,23,50,3,;77,36,60,4.1,;73.4,48,65,6.3,;64,69,68,11,;55,84.3,65,16,</v>
      </c>
    </row>
    <row r="86" spans="3:77" x14ac:dyDescent="0.3">
      <c r="C86" t="str">
        <f>PumpOG!B75</f>
        <v>SPSA</v>
      </c>
      <c r="D86" t="str">
        <f>PumpOG!B75</f>
        <v>SPSA</v>
      </c>
      <c r="E86" t="str">
        <f>PumpOG!A75</f>
        <v>6 AHF</v>
      </c>
      <c r="BT86" t="str">
        <f>PumpOG!$BY75</f>
        <v>6 AHF;6 AHF;6 AHF</v>
      </c>
      <c r="BY86" t="str" cm="1">
        <f t="array" ref="BY86">BuildCurveRawTable(E86)</f>
        <v>11,0,0,1.1,;10.3,37.7,40,1.3,;10.2,53.5,50,1.4,;10.2,63.3,55,1.5,;10,80.3,60,1.6,;9.9,100.4,65,2.2,;9.6,112,67,2.3,;9.3,120.5,67.6,2.4,;9,130.8,67,2.6,;8.4,142.4,65,2.8,;7.4,157.6,60,3,;6.7,165.5,58,3.3,|26.5,0,0,1.1,;25.1,59,40,1.46,;24.8,82.8,50,1.8,;24.6,98.6,55,2.2,;24.3,118.7,60,2.4,;23.8,147.9,65,2.8,;23.2,169.8,67,3.3,;22.3,189.9,67.6,3.5,;21.5,205.7,67,3.8,;20,226.4,65,4,;17.7,250.7,60,4.7,;16.3,261.7,58,5,|39.1,0,0,1.1,;36.9,71.8,40,1.6,;36.5,100.4,50,2.1,;36.2,120.5,55,2.4,;35.9,143.6,60,3.8,;35.1,178.9,65,3.3,;34.2,204.5,67,3.7,;33,227.6,67.6,4,;31.4,251.3,67,4.5,;29.4,275.7,65,5.3,;26.2,306.1,60,5.5,</v>
      </c>
    </row>
    <row r="87" spans="3:77" x14ac:dyDescent="0.3">
      <c r="C87" t="str">
        <f>PumpOG!B76</f>
        <v>SPSA</v>
      </c>
      <c r="D87" t="str">
        <f>PumpOG!B76</f>
        <v>SPSA</v>
      </c>
      <c r="E87" t="str">
        <f>PumpOG!A76</f>
        <v>6/4-HD100E-METAL</v>
      </c>
      <c r="BT87" t="str">
        <f>PumpOG!$BY76</f>
        <v>6/4 AH-M</v>
      </c>
      <c r="BY87" t="str" cm="1">
        <f t="array" ref="BY87">BuildCurveRawTable(E87)</f>
        <v>80,0,0,4.2,;80,26.5,40,4.2,;78.2,48,50,5,;76.4,61,60,5.8,;74.2,74,65,6.6,;70.2,95,68,8.2,;64,119,70,11.5,;56.3,147,68,0,</v>
      </c>
    </row>
    <row r="88" spans="3:77" x14ac:dyDescent="0.3">
      <c r="C88" t="str">
        <f>PumpOG!B77</f>
        <v>SPSA</v>
      </c>
      <c r="D88" t="str">
        <f>PumpOG!B77</f>
        <v>SPSA</v>
      </c>
      <c r="E88" t="str">
        <f>PumpOG!A77</f>
        <v>6/4-HD100E-RUBBER</v>
      </c>
      <c r="BT88" t="str">
        <f>PumpOG!$BY77</f>
        <v>6/4-HD100E-RUBBER</v>
      </c>
      <c r="BY88" t="str" cm="1">
        <f t="array" ref="BY88">BuildCurveRawTable(E88)</f>
        <v>44.5,0,0,2.5,;44,20,40,2.5,;43.4,30,50,3,;42.15,44,60,3.5,;41,55,65,4,;38.9,72,70,4.5,;36,90,71,5.4,;33,106,70,0,;29.6,123,65,0,</v>
      </c>
    </row>
    <row r="89" spans="3:77" x14ac:dyDescent="0.3">
      <c r="C89" t="str">
        <f>PumpOG!B78</f>
        <v>SPSA</v>
      </c>
      <c r="D89" t="str">
        <f>PumpOG!B78</f>
        <v>SPSA</v>
      </c>
      <c r="E89" t="str">
        <f>PumpOG!A78</f>
        <v>6/4-HDM100D-METAL</v>
      </c>
      <c r="BT89" t="str">
        <f>PumpOG!$BY78</f>
        <v>6/4 AH-M</v>
      </c>
      <c r="BY89" t="str" cm="1">
        <f t="array" ref="BY89">BuildCurveRawTable(E89)</f>
        <v>80,0,0,4.2,;80,26.5,40,4.2,;78.2,48,50,5,;76.4,61,60,5.8,;74.2,74,65,6.6,;70.2,95,68,8.2,;64,119,70,11.5,;56.3,147,68,0,</v>
      </c>
    </row>
    <row r="90" spans="3:77" x14ac:dyDescent="0.3">
      <c r="C90" t="str">
        <f>PumpOG!B79</f>
        <v>SPSA</v>
      </c>
      <c r="D90" t="str">
        <f>PumpOG!B79</f>
        <v>SPSA</v>
      </c>
      <c r="E90" t="str">
        <f>PumpOG!A79</f>
        <v>6/4-HDM100D-METAL 6V</v>
      </c>
      <c r="BT90" t="str">
        <f>PumpOG!$BY79</f>
        <v>6/4 AH-M</v>
      </c>
      <c r="BY90" t="str" cm="1">
        <f t="array" ref="BY90">BuildCurveRawTable(E90)</f>
        <v>90,0,0,4.8,;89.9,28.5,40,4.8,;89.2,41.5,50,5.5,;88,57.5,60,6,;84.1,85,70,7.9,;80,110,75,9.8,;74,137.8,77,12.8,;66,167,75,,</v>
      </c>
    </row>
    <row r="91" spans="3:77" x14ac:dyDescent="0.3">
      <c r="C91" t="str">
        <f>PumpOG!B80</f>
        <v>SPSA</v>
      </c>
      <c r="D91" t="str">
        <f>PumpOG!B80</f>
        <v>SPSA</v>
      </c>
      <c r="E91" t="str">
        <f>PumpOG!A80</f>
        <v>6/4-HDM100D-RUBBER</v>
      </c>
      <c r="BT91" t="str">
        <f>PumpOG!$BY80</f>
        <v>6/4 AH-R</v>
      </c>
      <c r="BY91" t="str" cm="1">
        <f t="array" ref="BY91">BuildCurveRawTable(E91)</f>
        <v>44.5,0,0,2.5,;44,20,40,2.5,;43.4,30,50,3,;42.15,44,60,3.5,;41,55,65,4,;38.9,72,70,4.5,;36,90,71,5.4,;33,106,70,0,;29.6,123,65,0,</v>
      </c>
    </row>
    <row r="92" spans="3:77" x14ac:dyDescent="0.3">
      <c r="C92" t="str">
        <f>PumpOG!B81</f>
        <v>SPSA</v>
      </c>
      <c r="D92" t="str">
        <f>PumpOG!B81</f>
        <v>SPSA</v>
      </c>
      <c r="E92" t="str">
        <f>PumpOG!A81</f>
        <v>6/4-HDP100EE-METAL</v>
      </c>
      <c r="BT92" t="str">
        <f>PumpOG!$BY81</f>
        <v>6/4 AH-M</v>
      </c>
      <c r="BY92" t="str" cm="1">
        <f t="array" ref="BY92">BuildCurveRawTable(E92)</f>
        <v>80,0,0,4.2,;80,26.5,40,4.2,;78.2,48,50,5,;76.4,61,60,5.8,;74.2,74,65,6.6,;70.2,95,68,8.2,;64,119,70,11.5,;56.3,147,68,0,</v>
      </c>
    </row>
    <row r="93" spans="3:77" x14ac:dyDescent="0.3">
      <c r="C93" t="str">
        <f>PumpOG!B82</f>
        <v>SPSA</v>
      </c>
      <c r="D93" t="str">
        <f>PumpOG!B82</f>
        <v>SPSA</v>
      </c>
      <c r="E93" t="str">
        <f>PumpOG!A82</f>
        <v>7/3-HDF80C-METAL</v>
      </c>
      <c r="BT93" t="str">
        <f>PumpOG!$BY82</f>
        <v>3 AHF;3 AHF;3 AHF</v>
      </c>
      <c r="BY93" t="str" cm="1">
        <f t="array" ref="BY93">BuildCurveRawTable(E93)</f>
        <v>7,0,0,0,;7.1,5.9,30,0,;7.1,8.7,40,0,;7,12.3,50,0,;7,14.4,55,0,;6.9,16.2,58,0,;6.8,18.5,60,0,;6.6,22.6,61.9,0,;6.2,26.2,60,0,;5.9,28.8,58,0,;5.8,30.3,57,0,|28.1,0,0,0,;28.4,12.3,30,0,;28.4,17.5,40,0,;28,24.2,50,0,;27.8,28.8,55,0,;27.4,32.7,58,0,;27.1,36.2,60,0,;26.1,44.5,61.9,0,;24.9,52.8,60,0,;24.3,57.1,58,0,;23.6,61.5,57,0,|52.9,0,0,1.8,;53.6,17,30,1.8,;53.5,24.4,40,2.5,;53,33.9,50,2.5,;52.4,40.1,55,3.4,;51.9,45.2,58,3.8,;51.2,49.9,60,4.3,;49.5,61.3,61.9,4.5,;47.1,72.8,60,5.4,;45.8,78.5,58,6.3,;44.6,82.6,52,6.5,</v>
      </c>
    </row>
    <row r="94" spans="3:77" x14ac:dyDescent="0.3">
      <c r="C94" t="str">
        <f>PumpOG!B83</f>
        <v>SPSA</v>
      </c>
      <c r="D94" t="str">
        <f>PumpOG!B83</f>
        <v>SPSA</v>
      </c>
      <c r="E94" t="str">
        <f>PumpOG!A83</f>
        <v>8 AHF</v>
      </c>
      <c r="BT94" t="str">
        <f>PumpOG!$BY83</f>
        <v>8 AHF;8 AHF;8 AHF</v>
      </c>
      <c r="BY94" t="str" cm="1">
        <f t="array" ref="BY94">BuildCurveRawTable(E94)</f>
        <v>14.8,0,0,1.8,;14.8,64,40,1.8,;14.9,90.5,50,1.8,;14.8,135.2,60,1.8,;14.5,171.4,64,1.8,;14.1,199.2,66,1.8,;13.8,225.8,66.5,1.8,;13.1,262,66,1.9,;12.1,298.2,64,2,|33,0,0,2.4,;33.4,90.5,40,2.6,;33.3,129.2,50,2.7,;32.9,188.3,60,2.9,;32.5,230.6,64,3,;31.9,266.8,66,3.3,;31.2,298.2,67,3.5,;30.2,344.1,67.7,3.7,;29,380.3,67,3.9,;27.7,420.1,66,4.1,;26.1,467.2,64,4.4,|58.3,0,0,4,;58.8,118.3,40,4.4,;58.8,167.8,50,4.5,;58.3,243.9,60,5,;57.4,295.8,64,5.3,;56.4,339.2,66,5.6,;55.5,375.5,67,5.7,;53.3,443.1,67.7,6.2,;50.3,517.9,67,6.5,;48.1,561.4,66,6.8,;45.9,601.2,64,7,</v>
      </c>
    </row>
    <row r="95" spans="3:77" x14ac:dyDescent="0.3">
      <c r="C95" t="str">
        <f>PumpOG!B84</f>
        <v>SPSA</v>
      </c>
      <c r="D95" t="str">
        <f>PumpOG!B84</f>
        <v>SPSA</v>
      </c>
      <c r="E95" t="str">
        <f>PumpOG!A84</f>
        <v>8/6-HD150F-METAL</v>
      </c>
      <c r="BT95" t="str">
        <f>PumpOG!$BY84</f>
        <v>8/6 AH-M</v>
      </c>
      <c r="BY95" t="str" cm="1">
        <f t="array" ref="BY95">BuildCurveRawTable(E95)</f>
        <v>80,0,0,2.5,;81.2,25,20,2.5,;81.8,60,40,3,;81.5,84,50,4,;80,121,60,5,;78,149,65,6,;74.2,189,70,8,;67.9,241,72,11,;61,285,70,14,</v>
      </c>
    </row>
    <row r="96" spans="3:77" x14ac:dyDescent="0.3">
      <c r="C96" t="str">
        <f>PumpOG!B85</f>
        <v>SPSA</v>
      </c>
      <c r="D96" t="str">
        <f>PumpOG!B85</f>
        <v>SPSA</v>
      </c>
      <c r="E96" t="str">
        <f>PumpOG!A85</f>
        <v>8/6-HD150F-METAL 6V</v>
      </c>
      <c r="BT96" t="str">
        <f>PumpOG!$BY85</f>
        <v>8/6-HD150F-METAL 6V</v>
      </c>
      <c r="BY96" t="str" cm="1">
        <f t="array" ref="BY96">BuildCurveRawTable(E96)</f>
        <v>90.6,0,0,6.1,;89.8,58.6,40,6.1,;88.8,86.7,50,6.1,;87.1,124.5,60,6.9,;83.5,175.1,70,8.7,;73.4,262.7,75,12.1,;56.5,350.2,70,16.1,</v>
      </c>
    </row>
    <row r="97" spans="3:77" x14ac:dyDescent="0.3">
      <c r="C97" t="str">
        <f>PumpOG!B86</f>
        <v>SPSA</v>
      </c>
      <c r="D97" t="str">
        <f>PumpOG!B86</f>
        <v>SPSA</v>
      </c>
      <c r="E97" t="str">
        <f>PumpOG!A86</f>
        <v>8/6-HD150F-RUBBER</v>
      </c>
      <c r="BT97" t="str">
        <f>PumpOG!$BY86</f>
        <v>8/6 AH-R</v>
      </c>
      <c r="BY97" t="str" cm="1">
        <f t="array" ref="BY97">BuildCurveRawTable(E97)</f>
        <v>52,0,0,3.8,;51.6,42,40,3.8,;51,68,50,4,;49.8,95,60,4.8,;48.7,115,65,5.8,;46.3,152,70,7.6,;43,191,71,10,;39.5,230,70,0,;36,262,65,0,</v>
      </c>
    </row>
    <row r="98" spans="3:77" x14ac:dyDescent="0.3">
      <c r="C98" t="str">
        <f>PumpOG!B87</f>
        <v>SPSA</v>
      </c>
      <c r="D98" t="str">
        <f>PumpOG!B87</f>
        <v>SPSA</v>
      </c>
      <c r="E98" t="str">
        <f>PumpOG!A87</f>
        <v>8/6-HDM150E-METAL</v>
      </c>
      <c r="BT98" t="str">
        <f>PumpOG!$BY87</f>
        <v>8/6 AH-M</v>
      </c>
      <c r="BY98" t="str" cm="1">
        <f t="array" ref="BY98">BuildCurveRawTable(E98)</f>
        <v>80,0,0,2.5,;81.2,25,20,2.5,;81.8,60,40,3,;81.5,84,50,4,;80,121,60,5,;78,149,65,6,;74.2,189,70,8,;67.9,241,72,11,;61,285,70,14,</v>
      </c>
    </row>
    <row r="99" spans="3:77" x14ac:dyDescent="0.3">
      <c r="C99" t="str">
        <f>PumpOG!B88</f>
        <v>SPSA</v>
      </c>
      <c r="D99" t="str">
        <f>PumpOG!B88</f>
        <v>SPSA</v>
      </c>
      <c r="E99" t="str">
        <f>PumpOG!A88</f>
        <v>8/6-HDM150E-RUBBER</v>
      </c>
      <c r="BT99" t="str">
        <f>PumpOG!$BY88</f>
        <v>8/6-HDM150E-RUBBER</v>
      </c>
      <c r="BY99" t="str" cm="1">
        <f t="array" ref="BY99">BuildCurveRawTable(E99)</f>
        <v>52,0,0,3.4,;51.6,42,40,3.8,;51.4,68,50,3.91,;49.8,94,60,4.5,;48.5,114,65,5.6,;46.2,152,70,6,;42.5,192,71,9.01,;39.5,230,70,13.7,;36,262,65,16,</v>
      </c>
    </row>
    <row r="100" spans="3:77" x14ac:dyDescent="0.3">
      <c r="C100" t="str">
        <f>PumpOG!B89</f>
        <v>SPSA</v>
      </c>
      <c r="D100" t="str">
        <f>PumpOG!B89</f>
        <v>SPSA</v>
      </c>
      <c r="E100" t="str">
        <f>PumpOG!A89</f>
        <v>8/6-HDP150FF-METAL</v>
      </c>
      <c r="BT100" t="str">
        <f>PumpOG!$BY89</f>
        <v>8/6 AH-M</v>
      </c>
      <c r="BY100" t="str" cm="1">
        <f t="array" ref="BY100">BuildCurveRawTable(E100)</f>
        <v>80,0,0,2.5,;81.2,25,20,2.5,;81.8,60,40,3,;81.5,84,50,4,;80,121,60,5,;78,149,65,6,;74.2,189,70,8,;67.9,241,72,11,;61,285,70,14,</v>
      </c>
    </row>
    <row r="101" spans="3:77" x14ac:dyDescent="0.3">
      <c r="C101" t="str">
        <f>PumpOG!B90</f>
        <v>SPSA</v>
      </c>
      <c r="D101" t="str">
        <f>PumpOG!B90</f>
        <v>SPSA</v>
      </c>
      <c r="E101" t="str">
        <f>PumpOG!A90</f>
        <v>5/2-HDF50C-METAL</v>
      </c>
      <c r="BT101" t="str">
        <f>PumpOG!$BY90</f>
        <v>2 AHF;2 AHF;2 AHF</v>
      </c>
      <c r="BY101" t="str" cm="1">
        <f t="array" ref="BY101">BuildCurveRawTable(E101)</f>
        <v>8.4,0,0,2,;8.3,3.9,30,2,;8.3,5.7,40,2,;8.2,6.8,45,2,;8.1,8.2,50,2,;8,9.4,53,2.2,;7.8,10.7,55,2.3,;7.7,12.6,56.6,2.5,;7.3,15.1,55,2.8,;7.3,17.3,53,3.4,|33.8,0,0,2,;33.5,7.8,30,2,;33,11.4,40,2.4,;32.7,13.7,45,2.6,;32.1,16.5,50,3.2,;31.6,18.9,53,3.5,;31.1,21.3,55,3.9,;30.1,25.8,56.6,4.8,;28.8,30.8,55,6,;28.1,33.6,53,6.5,;27.8,35.6,52,51,|57.1,0,0,2,;56.5,10.1,30,2.3,;55.7,14.9,40,2.6,;55.1,17.8,45,3.4,;54.2,21.4,50,4,;53.2,24.4,53,4.5,;52.4,27.4,55,5.3,;50.6,33.3,56.6,6.3,;48.6,40.1,55,7,;47.4,43.9,53,7.4,;47,45.2,52,7.5,</v>
      </c>
    </row>
    <row r="102" spans="3:77" x14ac:dyDescent="0.3">
      <c r="C102" t="str">
        <f>PumpOG!B91</f>
        <v>SPSA</v>
      </c>
      <c r="D102" t="str">
        <f>PumpOG!B91</f>
        <v>SPSA</v>
      </c>
      <c r="E102" t="str">
        <f>PumpOG!A91</f>
        <v>4/3-HHD80E-METAL</v>
      </c>
      <c r="BT102" t="str">
        <f>PumpOG!$BY91</f>
        <v>4/3 HH-M</v>
      </c>
      <c r="BY102" t="str" cm="1">
        <f t="array" ref="BY102">BuildCurveRawTable(E102)</f>
        <v>103.5,0,0,3,;101.5,17.2,30,2.55,;100.5,26,40,2.65,;99.2,39,50,3.75,;98.05,50,55,5,;95,68.1,60,7.5,;87,94,62.5,11.75,</v>
      </c>
    </row>
    <row r="103" spans="3:77" x14ac:dyDescent="0.3">
      <c r="C103" t="str">
        <f>PumpOG!B92</f>
        <v>SPSA</v>
      </c>
      <c r="D103" t="str">
        <f>PumpOG!B92</f>
        <v>SPSA</v>
      </c>
      <c r="E103" t="str">
        <f>PumpOG!A92</f>
        <v>6/4-HHD100F-METAL</v>
      </c>
      <c r="BT103" t="str">
        <f>PumpOG!$BY92</f>
        <v>6/4 HH-M</v>
      </c>
      <c r="BY103" t="str" cm="1">
        <f t="array" ref="BY103">BuildCurveRawTable(E103)</f>
        <v>97.4,0,0,2.6,;95.7,29.8,30,2.6,;95,49.2,40,2.7,;93.9,71.1,50,3,;90.4,114.3,60,4.4,;88,133.2,63,5.3,;83.1,162,64,6.8,;75.8,191.3,63,9,;66,218.6,60,11.2,</v>
      </c>
    </row>
    <row r="104" spans="3:77" x14ac:dyDescent="0.3">
      <c r="C104" t="str">
        <f>PumpOG!B93</f>
        <v>SPSA</v>
      </c>
      <c r="D104" t="str">
        <f>PumpOG!B93</f>
        <v>SPSA</v>
      </c>
      <c r="E104" t="str">
        <f>PumpOG!A93</f>
        <v>8/6-HHD150G-METAL</v>
      </c>
      <c r="BT104" t="str">
        <f>PumpOG!$BY93</f>
        <v>8/6 HH-M</v>
      </c>
      <c r="BY104" t="str" cm="1">
        <f t="array" ref="BY104">BuildCurveRawTable(E104)</f>
        <v>97.4,0,0,5.4,;96.2,69.2,30,5.4,;96.2,109.7,40,5.4,;95.8,135.6,45,5.7,;95.4,159.5,50,6,;94.2,200.1,55,6.5,;92.7,247.1,60,7.4,;87.5,325.5,65,9.4,;81.1,383.6,67,10.6,;76.7,417.7,65,11.7,</v>
      </c>
    </row>
    <row r="105" spans="3:77" x14ac:dyDescent="0.3">
      <c r="C105" t="str">
        <f>PumpOG!B94</f>
        <v>SPSA</v>
      </c>
      <c r="D105" t="str">
        <f>PumpOG!B94</f>
        <v>SPSA</v>
      </c>
      <c r="E105" t="str">
        <f>PumpOG!A94</f>
        <v>12/10-MD250F-RUBBER</v>
      </c>
      <c r="BT105" t="str">
        <f>PumpOG!$BY94</f>
        <v>250 L-R;12/10-MD250F-RUBBER;250 L-R;250 L-R</v>
      </c>
      <c r="BY105" t="str" cm="1">
        <f t="array" ref="BY105">BuildCurveRawTable(E105)</f>
        <v>13.9,0,0,1.8,;12.4,50.5,30,2.1,;12.1,62.6,40,2.1,;11.8,80.8,50,2.5,;11.2,112.1,60,2.8,;10.5,141.4,65,3.1,;9.3,193.9,69,4.3,;6.8,263.6,65,5.9,|19.9,0,0,4.2,;18.5,46.5,30,4,;18.1,62.6,40,3.7,;17.4,89.9,50,3.8,;16.5,125.3,60,4.3,;16,151.5,65,4.5,;14.7,197,70,5.2,;13.6,235.4,70.98,5.9,;11.8,280.8,70,7.1,;9.8,320.2,65,8,|26.8,0,0,3.1,;25.3,52.5,30,3.1,;23.9,104,50,4,;22.8,145.5,60,4.3,;22.1,172.7,65,4.7,;20.6,221.2,70,5.7,;18.5,276.8,71.6,6.9,;15.9,331.3,70,8.6,;13.8,367.7,65,10,|44.5,0,0,5.4,;41.1,84.8,30,5.4,;40.1,110.1,40,5.4,;38.9,148.5,50,5.4,;37.2,200,60,5.9,;35.7,240.4,65,6.6,;33.5,297,70,8.3,;31,350.5,71.6,10.5,;26.8,419.2,70,14.2,;24.3,453.5,65,16.7,</v>
      </c>
    </row>
    <row r="106" spans="3:77" x14ac:dyDescent="0.3">
      <c r="C106" t="str">
        <f>PumpOG!B95</f>
        <v>SPSA</v>
      </c>
      <c r="D106" t="str">
        <f>PumpOG!B95</f>
        <v>SPSA</v>
      </c>
      <c r="E106" t="str">
        <f>PumpOG!A95</f>
        <v>14/12-MD300F-METAL</v>
      </c>
      <c r="BT106" t="str">
        <f>PumpOG!$BY95</f>
        <v>14/12-MD300F-METAL;14/12-MD300F-METAL;14/12-MD300F-METAL</v>
      </c>
      <c r="BY106" t="str" cm="1">
        <f t="array" ref="BY106">BuildCurveRawTable(E106)</f>
        <v>11.6,0,0,1.8,;11.4,57.2,40,2.2,;11,105.1,60,1.4,;10.3,156.8,70,2.2,;9.7,208.4,75,2.2,;8.6,269.3,78,2.5,;6.9,361.5,75,3.8,|35.7,0,0,0,;35.1,99.6,40,0,;33.8,186.3,60,0,;32.3,256.4,70,0,;30.7,317.2,75,0,;28.8,385.5,78,0,;26.5,461.1,79,0,;23.3,558.8,78,0,;21,634.4,75,0,|65.6,0,0,3.4,;64.5,136.5,40,3.1,;62.2,252.7,60,4.5,;59.4,350.4,70,6.1,;56.2,442.6,75,7.7,;53.4,516.4,78,9.5,;48.7,632.6,79,12.3,;42.9,761.7,78,15.7,;38.4,859.4,75,18.6,</v>
      </c>
    </row>
    <row r="107" spans="3:77" x14ac:dyDescent="0.3">
      <c r="C107" t="str">
        <f>PumpOG!B96</f>
        <v>SPSA</v>
      </c>
      <c r="D107" t="str">
        <f>PumpOG!B96</f>
        <v>SPSA</v>
      </c>
      <c r="E107" t="str">
        <f>PumpOG!A96</f>
        <v>16/14-MD350F-METAL</v>
      </c>
      <c r="BT107" t="str">
        <f>PumpOG!$BY96</f>
        <v>16/14-MD350F-METAL;16/14-MD350F-METAL</v>
      </c>
      <c r="BY107" t="str" cm="1">
        <f t="array" ref="BY107">BuildCurveRawTable(E107)</f>
        <v>13.9,0,0,2,;14.2,66.9,40,2.1,;14.1,94.1,50,2,;13.9,129.7,60,2,;13.4,184.1,70,2.1,;13.1,223.8,75,2,;12,295,80,2.1,;10.8,357.7,81,2.7,;9.8,424.7,80,3.2,|61.1,0,0,7.7,;61.6,144.4,40,7.5,;61.1,200.8,50,7.7,;60.5,274.1,60,7.7,;58.6,384.9,70,8.2,;56.6,472.8,75,8.8,;52.2,619.2,80,10.5,;47.5,761.5,81,12.7,;42.8,889.1,80,15.4,</v>
      </c>
    </row>
    <row r="108" spans="3:77" x14ac:dyDescent="0.3">
      <c r="C108" t="str">
        <f>PumpOG!B97</f>
        <v>SPSA</v>
      </c>
      <c r="D108" t="str">
        <f>PumpOG!B97</f>
        <v>SPSA</v>
      </c>
      <c r="E108" t="str">
        <f>PumpOG!A97</f>
        <v>10/8-MC200FF-RUBBER</v>
      </c>
      <c r="BT108" t="str">
        <f>PumpOG!$BY97</f>
        <v>10/8-MC200FF-RUBBER</v>
      </c>
      <c r="BY108" t="str" cm="1">
        <f t="array" ref="BY108">BuildCurveRawTable(E108)</f>
        <v>71.4,0,0,3.5,;72.8,357.9,50,3.7,;72.2,479.6,60,4,;70.2,723,73,4.67,;67.6,916.3,78,5.5,;63.4,1181,80.1,6.8,;58.7,1450,78,8,;56.9,1554,76,9.6,;56.3,1579,77,10,</v>
      </c>
    </row>
    <row r="109" spans="3:77" x14ac:dyDescent="0.3">
      <c r="C109" t="str">
        <f>PumpOG!B98</f>
        <v>SPSA</v>
      </c>
      <c r="D109" t="str">
        <f>PumpOG!B98</f>
        <v>SPSA</v>
      </c>
      <c r="E109" t="str">
        <f>PumpOG!A98</f>
        <v>26/22-ESHR550</v>
      </c>
      <c r="BT109" t="str">
        <f>PumpOG!$BY98</f>
        <v>550MCR</v>
      </c>
      <c r="BY109" t="str" cm="1">
        <f t="array" ref="BY109">BuildCurveRawTable(E109)</f>
        <v>71.1,0,0,0,;70.8,2527,60,4.4,;69.8,3370,70,4.4,;68.9,3940,75,4.6,;67.4,4728,80,5.1,;65.8,5408,83,5.5,;63.7,6169,85,6.2,;60.2,7283,85.1,7.2,;56.2,8342,85,7.6,;53.2,9049,83,7.8,;49.8,9837,81,8.5,</v>
      </c>
    </row>
    <row r="110" spans="3:77" x14ac:dyDescent="0.3">
      <c r="C110" t="str">
        <f>PumpOG!B99</f>
        <v>SPSA</v>
      </c>
      <c r="D110" t="str">
        <f>PumpOG!B99</f>
        <v>SPSA</v>
      </c>
      <c r="E110" t="str">
        <f>PumpOG!A99</f>
        <v>30/26-ESH650</v>
      </c>
      <c r="BT110" t="str">
        <f>PumpOG!$BY99</f>
        <v>650MCR</v>
      </c>
      <c r="BY110" t="str" cm="1">
        <f t="array" ref="BY110">BuildCurveRawTable(E110)</f>
        <v>59,0,0,0,;57.7,3679,60,3,;56.3,4821,70,3.5,;55.2,5607,75,4,;53.7,6643,80,4.3,;52,7536,83,4.7,;50.1,8536,85,5.4,;46.8,10179,85.2,6.5,;42.7,12036,85,7.6,;40,13250,83,8,;38.3,14000,81,8.5,</v>
      </c>
    </row>
    <row r="111" spans="3:77" x14ac:dyDescent="0.3">
      <c r="C111" t="str">
        <f>PumpOG!B100</f>
        <v>SPSA</v>
      </c>
      <c r="D111" t="str">
        <f>PumpOG!B100</f>
        <v>SPSA</v>
      </c>
      <c r="E111" t="str">
        <f>PumpOG!A100</f>
        <v>36/30-MC750V-RUBBER</v>
      </c>
      <c r="BT111" t="str">
        <f>PumpOG!$BY100</f>
        <v>36/30-MC750V-RUBBER</v>
      </c>
      <c r="BY111" t="str" cm="1">
        <f t="array" ref="BY111">BuildCurveRawTable(E111)</f>
        <v>62.6,0,0,3,;60.9,6061,60,3,;59.6,7935,70,3.5,;57.8,9974,78,3.98,;55.2,12288,84,4.5,;52.5,14327,87,5.4,;50.9,15539,88,5.8,;48.5,17137,88.5,7,;45.8,18790,88,7.5,;43.7,20002,87,8,;40.4,22096,84,8.5,;39.1,22922,83,9,</v>
      </c>
    </row>
    <row r="112" spans="3:77" x14ac:dyDescent="0.3">
      <c r="C112" t="str">
        <f>PumpOG!B101</f>
        <v>SPSA</v>
      </c>
      <c r="D112" t="str">
        <f>PumpOG!B101</f>
        <v>SPSA</v>
      </c>
      <c r="E112" t="str">
        <f>PumpOG!A101</f>
        <v>10/8-MD200F-METAL</v>
      </c>
      <c r="BT112" t="str">
        <f>PumpOG!$BY101</f>
        <v>200 M-M</v>
      </c>
      <c r="BY112" t="str" cm="1">
        <f t="array" ref="BY112">BuildCurveRawTable(E112)</f>
        <v>66.3,0,0,3.8,;65,84,40,3.8,;63.9,124,50,3.8,;61,186,60,3.8,;58.8,225,65,4,;55.6,282,70,4.6,;49.5,367,73,6.1,;42.8,440,70,7.5,;38.4,481,65,8.4,</v>
      </c>
    </row>
    <row r="113" spans="3:77" x14ac:dyDescent="0.3">
      <c r="C113" t="str">
        <f>PumpOG!B102</f>
        <v>SPSA</v>
      </c>
      <c r="D113" t="str">
        <f>PumpOG!B102</f>
        <v>SPSA</v>
      </c>
      <c r="E113" t="str">
        <f>PumpOG!A102</f>
        <v>10/8-MD200F-RUBBER</v>
      </c>
      <c r="BT113" t="str">
        <f>PumpOG!$BY102</f>
        <v>200 M-R</v>
      </c>
      <c r="BY113" t="str" cm="1">
        <f t="array" ref="BY113">BuildCurveRawTable(E113)</f>
        <v>44.3,0,0,4.74,;43.9,50,40,4.74,;43.5,76,50,5.2,;42.7,111,60,6.5,;41.3,161,70,9.9,;39.7,208,75,14.3,;35.5,302,79,0,;30.4,375,75,0,</v>
      </c>
    </row>
    <row r="114" spans="3:77" x14ac:dyDescent="0.3">
      <c r="C114" t="str">
        <f>PumpOG!B103</f>
        <v>SPSA</v>
      </c>
      <c r="D114" t="str">
        <f>PumpOG!B103</f>
        <v>SPSA</v>
      </c>
      <c r="E114" t="str">
        <f>PumpOG!A103</f>
        <v>12/10-MD250F-METAL</v>
      </c>
      <c r="BT114" t="str">
        <f>PumpOG!$BY103</f>
        <v>250 L-M</v>
      </c>
      <c r="BY114" t="str" cm="1">
        <f t="array" ref="BY114">BuildCurveRawTable(E114)</f>
        <v>49.7,0,0,6,;48.3,86,40,6,;47.2,130,50,6.3,;44.5,202,60,7,;42.7,240,65,7.6,;39.2,300,70,10,;33.8,383,73,11,;29.5,442,70,13,;25,499,64.8,0,</v>
      </c>
    </row>
    <row r="115" spans="3:77" x14ac:dyDescent="0.3">
      <c r="C115" t="str">
        <f>PumpOG!B104</f>
        <v>SPSA</v>
      </c>
      <c r="D115" t="str">
        <f>PumpOG!B104</f>
        <v>SPSA</v>
      </c>
      <c r="E115" t="str">
        <f>PumpOG!A104</f>
        <v>14/12-MD300F-RUBBER</v>
      </c>
      <c r="BT115" t="str">
        <f>PumpOG!$BY104</f>
        <v>300 L-R</v>
      </c>
      <c r="BY115" t="str" cm="1">
        <f t="array" ref="BY115">BuildCurveRawTable(E115)</f>
        <v>43.4,0,0,3.9,;43.2,80,35,3.9,;42,182,60,4,;40.5,250,70,4.2,;39,307,75,5,;32.6,495,81,6,;25,662,75,7.3,</v>
      </c>
    </row>
    <row r="116" spans="3:77" x14ac:dyDescent="0.3">
      <c r="C116" t="str">
        <f>PumpOG!B105</f>
        <v>SPSA</v>
      </c>
      <c r="D116" t="str">
        <f>PumpOG!B105</f>
        <v>SPSA</v>
      </c>
      <c r="E116" t="str">
        <f>PumpOG!A105</f>
        <v>150 MP-M</v>
      </c>
      <c r="BT116" t="str">
        <f>PumpOG!$BY105</f>
        <v>MD150 (5VC-M);MD150 (5VC-M);MD150 (5VC-M);MD150 (5VC-M);MD150 (5VC-M);MD150 (5VC-M);MD150 (5VC-M);MD150 (5VC-M);MD150 (5VC-M)</v>
      </c>
      <c r="BY116" t="str" cm="1">
        <f t="array" ref="BY116">BuildCurveRawTable(E116)</f>
        <v>11.9,0,0,0,;12.1,33.7,40,0,;11.9,50.8,50,0,;11.2,75,60,0,;10.4,91.5,65,0,;9.2,120.8,72,0,;8.7,134.7,70,0,|17.1,0,0,0,;17.1,37.5,40,0,;17.1,46.4,45,0,;16.8,66.7,55,0,;15.7,97.2,65,0,;14.1,128.4,72,0,;12.5,155.7,70,0,|23.2,0,0,0,;23.2,42.6,40,0,;23.2,61,50,0,;22.6,85.2,60,0,;21.9,103.6,65,0,;19.9,137.3,72,0,;17.9,169.1,70,0,|30.4,0,0,0,;30.7,47,40,0,;30.3,66.1,50,0,;29.5,92.2,60,0,;28.9,110,65,0,;26.7,146.8,72,0,;23.5,184.3,70,0,|38.4,0,0,0,;38.5,52.1,40,0,;38.5,61,45,0,;38,83.9,55,0,;36.7,117.6,65,0,;34.1,157.6,72,0,;29.5,202.1,70,0,|47.2,0,0,0,;47.2,57.2,40,0,;46.8,77.5,50,0,;46,105.5,60,0,;45.1,126.5,65,0,;42.5,171,72,0,;36.1,220.6,70,0,|56.8,0,0,0,;57.3,62.3,40,0,;57,73.1,45,0,;56.2,98.5,55,0,;54.6,138.6,65,0,;51.2,188.1,71.5,0,;43.7,241.5,70,0,|67.4,0,0,0,;68.1,68,40,0,;67.5,92.2,50,0,;66.2,127.1,60,0,;64.8,155.1,65,0,;60.2,211.7,72,0,;51.6,263.1,70,0,|78.2,0,0,3.8,;79.9,73,40,3.8,;79.9,86,45,4,;79.6,101,50,4.5,;78.9,120,55,5,;77.6,145,60,5.6,;74.9,183.5,67,6.8,;67.5,248,72.5,11,;60.5,284,70,13.9,</v>
      </c>
    </row>
    <row r="117" spans="3:77" x14ac:dyDescent="0.3">
      <c r="C117" t="str">
        <f>PumpOG!B106</f>
        <v>SPSA</v>
      </c>
      <c r="D117" t="str">
        <f>PumpOG!B106</f>
        <v>SPSA</v>
      </c>
      <c r="E117" t="str">
        <f>PumpOG!A106</f>
        <v>16/14-MD350F-RUBBER</v>
      </c>
      <c r="BT117" t="str">
        <f>PumpOG!$BY106</f>
        <v>16/14-MD350F-RUBBER</v>
      </c>
      <c r="BY117" t="str" cm="1">
        <f t="array" ref="BY117">BuildCurveRawTable(E117)</f>
        <v>45,0,0,2.4,;45,54,20,2.4,;45,122.4,40,2.4,;44.4,225,60,2.9,;43.5,307.8,70,3.4,;41.6,444.6,80,4.4,;39.4,565.2,85,5.7,;35.1,730.8,86.5,8.1,;31.7,837,85,9.7,</v>
      </c>
    </row>
    <row r="118" spans="3:77" x14ac:dyDescent="0.3">
      <c r="C118" t="str">
        <f>PumpOG!B107</f>
        <v>SPSA</v>
      </c>
      <c r="D118" t="str">
        <f>PumpOG!B107</f>
        <v>SPSA</v>
      </c>
      <c r="E118" t="str">
        <f>PumpOG!A107</f>
        <v>MDP125</v>
      </c>
      <c r="BT118" t="str">
        <f>PumpOG!$BY107</f>
        <v>MDP125;MDP125;MDP125;MDP125;MDP125</v>
      </c>
      <c r="BY118" t="str" cm="1">
        <f t="array" ref="BY118">BuildCurveRawTable(E118)</f>
        <v>29.9,0,0,0,;30.6,63.7,50,0,;29.9,115.9,65,0,;26.5,191,70,0,;20.4,253.1,66,0,|59,0,0,0,;60.5,75.1,50,0,;60.2,133.9,65,0,;56.5,213.9,75,0,;54.1,246.5,77,0,;50.3,280.8,75,0,;40.5,351,65,0,|96.6,0,0,0,;100.3,86.5,50,0,;100,151.8,65,0,;97.3,222,75,0,;88.8,315.1,79,0,;74.1,413.1,75,0,;67,450.6,73,0,|144.2,0,0,0,;149.3,99.6,50,0,;149.3,169.8,65,0,;147.3,241.6,75,0,;143.2,295.5,80,0,;133,383.7,83.55,0,;117,475.1,80,0,;99.7,551.8,73,0,|172.4,0,0,0,;177.9,111,50,0,;178.2,181.2,65,0,;175.9,251.4,75,0,;172.1,305.3,80,0,;167,354.3,83,0,;162.9,386.9,84,0,;158.2,421.2,84.42,0,;152.4,458.8,84,0,;146.3,488.2,83,0,;134,542,80,0,;118.7,604.1,73,0,</v>
      </c>
    </row>
    <row r="119" spans="3:77" x14ac:dyDescent="0.3">
      <c r="C119" t="str">
        <f>PumpOG!B108</f>
        <v>SPSA</v>
      </c>
      <c r="D119" t="str">
        <f>PumpOG!B108</f>
        <v>SPSA</v>
      </c>
      <c r="E119" t="str">
        <f>PumpOG!A108</f>
        <v>MDP150</v>
      </c>
      <c r="BT119" t="str">
        <f>PumpOG!$BY108</f>
        <v>MDP150</v>
      </c>
      <c r="BY119" t="str" cm="1">
        <f t="array" ref="BY119">BuildCurveRawTable(E119)</f>
        <v>211.1,0,0,0,;220.6,282.8,56,0,;222.2,462.3,65,0,;216.1,656.6,74,0,;208.9,769.7,78,0,;202.2,850.8,80,0,;183.2,1006,81.3,0,;167.6,1109,80,0,;161,1146,79,0,;149.3,1207,77,0,</v>
      </c>
    </row>
    <row r="120" spans="3:77" x14ac:dyDescent="0.3">
      <c r="C120" t="str">
        <f>PumpOG!B109</f>
        <v>SPSA</v>
      </c>
      <c r="D120" t="str">
        <f>PumpOG!B109</f>
        <v>SPSA</v>
      </c>
      <c r="E120" t="str">
        <f>PumpOG!A109</f>
        <v>MDP150C</v>
      </c>
      <c r="BT120" t="str">
        <f>PumpOG!$BY109</f>
        <v>MDP150C</v>
      </c>
      <c r="BY120" t="str" cm="1">
        <f t="array" ref="BY120">BuildCurveRawTable(E120)</f>
        <v>211.8,0,0,0,;210.8,140.6,47,0,;209.9,223.8,58,0,;207.1,308.4,67,0,;203.3,383,73,0,;199.5,431.8,76,0,;191.1,504.9,79,0,;177.4,595.3,80.1,0,;164.2,659.8,79,0,;157.2,687.1,78,0,;150.6,714.3,75,0,</v>
      </c>
    </row>
    <row r="121" spans="3:77" x14ac:dyDescent="0.3">
      <c r="C121" t="str">
        <f>PumpOG!B110</f>
        <v>SPSA</v>
      </c>
      <c r="D121" t="str">
        <f>PumpOG!B110</f>
        <v>SPSA</v>
      </c>
      <c r="E121" t="str">
        <f>PumpOG!A110</f>
        <v>10/8 P-M</v>
      </c>
      <c r="BT121" t="str">
        <f>PumpOG!$BY110</f>
        <v>10/8 P-M;10/8 P-M;10/8 P-M;10/8 P-M</v>
      </c>
      <c r="BY121" t="str" cm="1">
        <f t="array" ref="BY121">BuildCurveRawTable(E121)</f>
        <v>20.5,0,0,4,;19.5,60,50,4,;18,120,68,6,;15.8,180,73.5,9,;12,255,69.5,11.5,|36,0,0,4,;35.5,36,30,4,;33.5,105,57.5,6,;31,171,70,9,;27.5,243,73.5,11.5,;23.5,306,70,14,|55,0,0,0,;54.5,45,30,0,;51,150,60,0,;47,231,70,0,;42,306,73.5,0,;37.5,366,70,0,|66.5,0,0,4,;65.5,75,40,4,;62,168,60,6,;56,270,70,9,;51,336,74,11.5,;45.5,405,69.5,14,</v>
      </c>
    </row>
    <row r="122" spans="3:77" x14ac:dyDescent="0.3">
      <c r="C122" t="str">
        <f>PumpOG!B111</f>
        <v>SPSA</v>
      </c>
      <c r="D122" t="str">
        <f>PumpOG!B111</f>
        <v>SPSA</v>
      </c>
      <c r="E122" t="str">
        <f>PumpOG!A111</f>
        <v>100 MP-M</v>
      </c>
      <c r="BT122" t="str">
        <f>PumpOG!$BY111</f>
        <v>100 MP-M</v>
      </c>
      <c r="BY122" t="str" cm="1">
        <f t="array" ref="BY122">BuildCurveRawTable(E122)</f>
        <v>80,0,0,1.3,;80,26.5,40,1.3,;78.2,48,50,2,;76.4,61,60,3.1,;74.2,74,65,4.1,;70.2,95,68,5.9,;64,119,70,9.5,;56.3,147,68,14,</v>
      </c>
    </row>
    <row r="123" spans="3:77" x14ac:dyDescent="0.3">
      <c r="C123" t="str">
        <f>PumpOG!B112</f>
        <v>SPSA</v>
      </c>
      <c r="D123" t="str">
        <f>PumpOG!B112</f>
        <v>SPSA</v>
      </c>
      <c r="E123" t="str">
        <f>PumpOG!A112</f>
        <v>12/10 P-M</v>
      </c>
      <c r="BT123" t="str">
        <f>PumpOG!$BY112</f>
        <v>12/10 P-M;12/10 P-M;12/10 P-M</v>
      </c>
      <c r="BY123" t="str" cm="1">
        <f t="array" ref="BY123">BuildCurveRawTable(E123)</f>
        <v>11.9,0,0,1.7,;11.5,48.5,40,1.6,;11.4,65.9,50,1.8,;11,92.4,60,1.9,;10.5,125.3,70,2.1,;10,158.2,75,2.3,;8.7,195.7,76.85,2.5,;7.7,223.2,75.75,2.7,|31.5,0,0,0,;30.5,86,40,0,;29.9,117.1,50,0,;28.8,158.2,60,0,;27.4,200.3,70,0,;25.8,242.4,75,0,;24,278,78,0,;22.7,304.6,78.5,0,;20.4,337.5,78,0,|50,0,0,3.7,;48.5,85.1,40,3.7,;47.3,124.4,50,3.9,;45.6,176.5,60,4.2,;43.3,236.9,70,5.2,;40.9,286.3,75,6.1,;38.5,330.2,78,7.2,;35.3,380.5,78.8,8.8,;32.1,420.7,77.95,10.1,</v>
      </c>
    </row>
    <row r="124" spans="3:77" x14ac:dyDescent="0.3">
      <c r="C124" t="str">
        <f>PumpOG!B113</f>
        <v>SPSA</v>
      </c>
      <c r="D124" t="str">
        <f>PumpOG!B113</f>
        <v>SPSA</v>
      </c>
      <c r="E124" t="str">
        <f>PumpOG!A113</f>
        <v>2/1.5 P-M</v>
      </c>
      <c r="BT124" t="str">
        <f>PumpOG!$BY113</f>
        <v>2/1.5 P-M;2/1.5 P-M;2/1.5 P-M;2/1.5 P-M;2/1.5 P-M;2/1.5 P-M</v>
      </c>
      <c r="BY124" t="str" cm="1">
        <f t="array" ref="BY124">BuildCurveRawTable(E124)</f>
        <v>2.7,0,0,0,;2.3,2.3,20,0,;2.1,3.3,27,0,;1.9,3.9,30,0,;1.5,4.9,27,0,|4.2,0,0,0,;3.6,2.1,20,0,;3.1,3.7,30,0,;2.9,4.4,32,0,;2.3,5.6,30,0,|8.8,0,0,0,;8.5,1.8,20,0,;8.1,3.3,30,0,;7,6,35,0,;5.6,7.9,30,0,|15.6,0,0,0,;15.2,1.8,20,0,;15,3.1,30,0,;14.2,5.3,40,0,;12.6,7.7,43,0,;9.6,10.3,39.5,0,|24.2,0,0,0,;23.8,2,20,0,;23.4,3.2,30,0,;22.6,4.9,39.5,0,;21.6,6.6,45,0,;19.4,9.4,47,0,;16.8,12.1,45,0,;14.6,13.8,39.5,0,|34.6,0,0,0,;34.4,2.1,20,0,;34,3.6,30,0,;32.6,6,40,0,;31,8.3,45,0,;28.4,11.1,49,0,;25,14.2,45,0,;22.1,16.5,39.5,0,</v>
      </c>
    </row>
    <row r="125" spans="3:77" x14ac:dyDescent="0.3">
      <c r="C125" t="str">
        <f>PumpOG!B114</f>
        <v>SPSA</v>
      </c>
      <c r="D125" t="str">
        <f>PumpOG!B114</f>
        <v>SPSA</v>
      </c>
      <c r="E125" t="str">
        <f>PumpOG!A114</f>
        <v>50 MP-M</v>
      </c>
      <c r="BT125" t="str">
        <f>PumpOG!$BY114</f>
        <v>50 MP-M;50 MP-M;50 MP-M;50 MP-M;50 MP-M;50 MP-M;50 MP-M</v>
      </c>
      <c r="BY125" t="str" cm="1">
        <f t="array" ref="BY125">BuildCurveRawTable(E125)</f>
        <v>18,0,0,0,;17,4,30,0,;16.4,5.4,35,0,;15.2,7.5,40,0,;13.5,9.6,41,0,;12,11,40,0,|22.9,0,0,0,;21.9,4.3,30,0,;21.4,5.7,35,0,;20.2,7.6,40,0,;18,10.2,40.98,0,;15.3,12.7,40,0,|28.7,0,0,0,;27.4,4.6,30,0,;26.8,6,35,0,;25.9,7.9,40,0,;24.2,9.8,43,0,;23,11.2,43.85,0,;20.6,13.1,43,0,;18.8,14.4,42,0,|34.8,0,0,0,;33.6,4.9,30,0,;33.1,6.3,35,0,;32,8.2,40,0,;30.7,9.9,43,0,;29.8,10.8,44,0,;28.3,12.3,44.5,0,;26,14.2,44,0,;24.5,15.1,43,0,;22.8,16.2,42,0,|41.6,0,0,0,;40.5,5.2,30,0,;39.7,6.6,35,0,;38.6,8.5,40,0,;37.3,10.2,43,0,;36.7,11.1,44,0,;35.2,12.4,45,0,;33.8,13.7,45.3,0,;32.1,15,45,0,;30.2,16.2,44,0,;28.8,17,43,0,;26.9,18.1,42,0,|49,0,0,0,;47.8,5.4,30,0,;47.1,6.9,35,0,;45.9,9,40,0,;44.5,10.8,43,0,;43.7,11.7,44,0,;42.4,13,45,0,;39.3,15.5,45.5,0,;36.4,17.3,45,0,;34.4,18.4,44,0,;32.9,19.3,43,0,;31.3,20,42,0,|57.1,0,0,3.4,;55.8,5.3,30,3.4,;55.1,7.05,35,3.6,;53.8,9.5,40,3.7,;52,11.8,43,4,;50.6,13,44,4.2,;48.6,14.6,45,4.4,;44,17.7,46,4.87,;39.9,20.08,45,5.4,;37,21.3,44,5.8,;35.1,22.08,43,6,</v>
      </c>
    </row>
    <row r="126" spans="3:77" x14ac:dyDescent="0.3">
      <c r="C126" t="str">
        <f>PumpOG!B115</f>
        <v>SPSA</v>
      </c>
      <c r="D126" t="str">
        <f>PumpOG!B115</f>
        <v>SPSA</v>
      </c>
      <c r="E126" t="str">
        <f>PumpOG!A115</f>
        <v>50 MP-M</v>
      </c>
      <c r="BT126" t="str">
        <f>PumpOG!$BY115</f>
        <v>50 MP-M</v>
      </c>
      <c r="BY126" t="str" cm="1">
        <f t="array" ref="BY126">BuildCurveRawTable(E126)</f>
        <v>18,0,0,0,;17,4,30,0,;16.4,5.4,35,0,;15.2,7.5,40,0,;13.5,9.6,41,0,;12,11,40,0,|22.9,0,0,0,;21.9,4.3,30,0,;21.4,5.7,35,0,;20.2,7.6,40,0,;18,10.2,40.98,0,;15.3,12.7,40,0,|28.7,0,0,0,;27.4,4.6,30,0,;26.8,6,35,0,;25.9,7.9,40,0,;24.2,9.8,43,0,;23,11.2,43.85,0,;20.6,13.1,43,0,;18.8,14.4,42,0,|34.8,0,0,0,;33.6,4.9,30,0,;33.1,6.3,35,0,;32,8.2,40,0,;30.7,9.9,43,0,;29.8,10.8,44,0,;28.3,12.3,44.5,0,;26,14.2,44,0,;24.5,15.1,43,0,;22.8,16.2,42,0,|41.6,0,0,0,;40.5,5.2,30,0,;39.7,6.6,35,0,;38.6,8.5,40,0,;37.3,10.2,43,0,;36.7,11.1,44,0,;35.2,12.4,45,0,;33.8,13.7,45.3,0,;32.1,15,45,0,;30.2,16.2,44,0,;28.8,17,43,0,;26.9,18.1,42,0,|49,0,0,0,;47.8,5.4,30,0,;47.1,6.9,35,0,;45.9,9,40,0,;44.5,10.8,43,0,;43.7,11.7,44,0,;42.4,13,45,0,;39.3,15.5,45.5,0,;36.4,17.3,45,0,;34.4,18.4,44,0,;32.9,19.3,43,0,;31.3,20,42,0,|57.1,0,0,3.4,;55.8,5.3,30,3.4,;55.1,7.05,35,3.6,;53.8,9.5,40,3.7,;52,11.8,43,4,;50.6,13,44,4.2,;48.6,14.6,45,4.4,;44,17.7,46,4.87,;39.9,20.08,45,5.4,;37,21.3,44,5.8,;35.1,22.08,43,6,</v>
      </c>
    </row>
    <row r="127" spans="3:77" x14ac:dyDescent="0.3">
      <c r="C127" t="str">
        <f>PumpOG!B116</f>
        <v>SPSA</v>
      </c>
      <c r="D127" t="str">
        <f>PumpOG!B116</f>
        <v>SPSA</v>
      </c>
      <c r="E127" t="str">
        <f>PumpOG!A116</f>
        <v>75 MP-M</v>
      </c>
      <c r="BT127" t="str">
        <f>PumpOG!$BY116</f>
        <v>75 MP-M</v>
      </c>
      <c r="BY127" t="str" cm="1">
        <f t="array" ref="BY127">BuildCurveRawTable(E127)</f>
        <v>82,0,0,3.7,;81.6,10.5,30,3.7,;81,16,40,3.8,;80,23,50,4,;77,36,60,5.6,;73.4,48,65,7.5,;64,69,68,11.6,;55,84.3,65,14.5,</v>
      </c>
    </row>
    <row r="128" spans="3:77" x14ac:dyDescent="0.3">
      <c r="C128" t="str">
        <f>PumpOG!B117</f>
        <v>SPSA</v>
      </c>
      <c r="D128" t="str">
        <f>PumpOG!B117</f>
        <v>SPSA</v>
      </c>
      <c r="E128" t="str">
        <f>PumpOG!A117</f>
        <v>24/16-DN600H-METAL</v>
      </c>
      <c r="BT128" t="str">
        <f>PumpOG!$BY117</f>
        <v>24/16-MST600H-CR35</v>
      </c>
      <c r="BY128" t="str" cm="1">
        <f t="array" ref="BY128">BuildCurveRawTable(E128)</f>
        <v>79.9,0,0,1.5,;79,1927,40,3.1,;78.4,2922,57,3.8,;77.2,4299,72,4.7,;76.2,5188,78,4.8,;74.5,6395,82,5,;72,7581,84.5,6,;69.7,8471,84,0,;68.2,9021,82.5,0,;67,9424,81.5,0,</v>
      </c>
    </row>
    <row r="129" spans="3:77" x14ac:dyDescent="0.3">
      <c r="C129" t="str">
        <f>PumpOG!B118</f>
        <v>SPSA</v>
      </c>
      <c r="D129" t="str">
        <f>PumpOG!B118</f>
        <v>SPSA</v>
      </c>
      <c r="E129" t="str">
        <f>PumpOG!A118</f>
        <v>24/16-MST600H-CR35</v>
      </c>
      <c r="BT129" t="str">
        <f>PumpOG!$BY118</f>
        <v>24/16-MST600H-CR35</v>
      </c>
      <c r="BY129" t="str" cm="1">
        <f t="array" ref="BY129">BuildCurveRawTable(E129)</f>
        <v>79.9,0,0,1.5,;79,1927,40,3.1,;78.4,2922,57,3.8,;77.2,4299,72,4.7,;76.2,5188,78,4.8,;74.5,6395,82,5,;72,7581,84.5,6,;69.7,8471,84,0,;68.2,9021,82.5,0,;67,9424,81.5,0,</v>
      </c>
    </row>
    <row r="130" spans="3:77" x14ac:dyDescent="0.3">
      <c r="C130" t="str">
        <f>PumpOG!B119</f>
        <v>SPSA</v>
      </c>
      <c r="D130" t="str">
        <f>PumpOG!B119</f>
        <v>SPSA</v>
      </c>
      <c r="E130" t="str">
        <f>PumpOG!A119</f>
        <v>20/18-DN500H-METAL</v>
      </c>
      <c r="BT130" t="str">
        <f>PumpOG!$BY119</f>
        <v>20/18-MST-DN500GG-M</v>
      </c>
      <c r="BY130" t="str" cm="1">
        <f t="array" ref="BY130">BuildCurveRawTable(E130)</f>
        <v>77.6,0,0,0,;78,864,31,0,;77.8,1693,50,0,;77.2,2134,60,0,;76.4,2786,70,0,;74.3,3879,78,0,;71.5,4814,81,0,;68.6,5678,81.5,0,;64.8,6665,81,0,;60.8,7617,80,0,;59,8005,77,0,</v>
      </c>
    </row>
    <row r="131" spans="3:77" x14ac:dyDescent="0.3">
      <c r="C131" t="str">
        <f>PumpOG!B120</f>
        <v>SPSA</v>
      </c>
      <c r="D131" t="str">
        <f>PumpOG!B120</f>
        <v>SPSA</v>
      </c>
      <c r="E131" t="str">
        <f>PumpOG!A120</f>
        <v>20/18-MST-DN500H-M</v>
      </c>
      <c r="BT131" t="str">
        <f>PumpOG!$BY120</f>
        <v>20/18-MST-DN500GG-M</v>
      </c>
      <c r="BY131" t="str" cm="1">
        <f t="array" ref="BY131">BuildCurveRawTable(E131)</f>
        <v>77.6,0,0,0,;78,864,31,0,;77.8,1693,50,0,;77.2,2134,60,0,;76.4,2786,70,0,;74.3,3879,78,0,;71.5,4814,81,0,;68.6,5678,81.5,0,;64.8,6665,81,0,;60.8,7617,80,0,;59,8005,77,0,</v>
      </c>
    </row>
    <row r="132" spans="3:77" x14ac:dyDescent="0.3">
      <c r="C132" t="str">
        <f>PumpOG!B121</f>
        <v>SPSA</v>
      </c>
      <c r="D132" t="str">
        <f>PumpOG!B121</f>
        <v>SPSA</v>
      </c>
      <c r="E132" t="str">
        <f>PumpOG!A121</f>
        <v>10 TC</v>
      </c>
      <c r="BT132" t="str">
        <f>PumpOG!$BY121</f>
        <v>10 TC</v>
      </c>
      <c r="BY132" t="str" cm="1">
        <f t="array" ref="BY132">BuildCurveRawTable(E132)</f>
        <v>39,0,0,0,;35.3,102,37,,;34.5,124,40,,;33.6,148,41,,;31,209,43.5,,;28.3,264,42,,;25.3,332,40,,;22.25,406,37,,</v>
      </c>
    </row>
    <row r="133" spans="3:77" x14ac:dyDescent="0.3">
      <c r="C133" t="str">
        <f>PumpOG!B122</f>
        <v>SPSA</v>
      </c>
      <c r="D133" t="str">
        <f>PumpOG!B122</f>
        <v>SPSA</v>
      </c>
      <c r="E133" t="str">
        <f>PumpOG!A122</f>
        <v>2 TC</v>
      </c>
      <c r="BT133" t="str">
        <f>PumpOG!$BY122</f>
        <v>2 TC</v>
      </c>
      <c r="BY133" t="str" cm="1">
        <f t="array" ref="BY133">BuildCurveRawTable(E133)</f>
        <v>23.3,0,0,0,;22.7,3.4,20,,;21.95,6.15,30,,;21.28,8.2,35,,;19.65,12,40,,;18,15,41,,;16.2,17.45,40,,</v>
      </c>
    </row>
    <row r="134" spans="3:77" x14ac:dyDescent="0.3">
      <c r="C134" t="str">
        <f>PumpOG!B123</f>
        <v>SPSA</v>
      </c>
      <c r="D134" t="str">
        <f>PumpOG!B123</f>
        <v>SPSA</v>
      </c>
      <c r="E134" t="str">
        <f>PumpOG!A123</f>
        <v>3 TC</v>
      </c>
      <c r="BT134" t="str">
        <f>PumpOG!$BY123</f>
        <v>3 TC</v>
      </c>
      <c r="BY134" t="str" cm="1">
        <f t="array" ref="BY134">BuildCurveRawTable(E134)</f>
        <v>38.9,0,0,0,;38.2,4,10,,;37.65,6.4,15,,;37.3,8.95,20,,;36.9,12,25,,;36.5,15.5,30,,;35.8,20.4,35,,;34.7,26.2,39,,;33.5,31.5,41,,;31.7,38,41.5,,;29,45.5,41,,</v>
      </c>
    </row>
    <row r="135" spans="3:77" x14ac:dyDescent="0.3">
      <c r="C135" t="str">
        <f>PumpOG!B124</f>
        <v>SPSA</v>
      </c>
      <c r="D135" t="str">
        <f>PumpOG!B124</f>
        <v>SPSA</v>
      </c>
      <c r="E135" t="str">
        <f>PumpOG!A124</f>
        <v>4 TC</v>
      </c>
      <c r="BT135" t="str">
        <f>PumpOG!$BY124</f>
        <v>4 TC</v>
      </c>
      <c r="BY135" t="str" cm="1">
        <f t="array" ref="BY135">BuildCurveRawTable(E135)</f>
        <v>38.9,0,0,0,;38.2,4,10,,;37.65,6.4,15,,;37.3,8.95,20,,;36.9,12,25,,;36.5,15.5,30,,;35.8,20.4,35,,;34.7,26.2,39,,;33.5,31.5,41,,;31.7,38,41.5,,;29,45.5,41,,</v>
      </c>
    </row>
    <row r="136" spans="3:77" x14ac:dyDescent="0.3">
      <c r="C136" t="str">
        <f>PumpOG!B125</f>
        <v>SPSA</v>
      </c>
      <c r="D136" t="str">
        <f>PumpOG!B125</f>
        <v>SPSA</v>
      </c>
      <c r="E136" t="str">
        <f>PumpOG!A125</f>
        <v>6 TC</v>
      </c>
      <c r="BT136" t="str">
        <f>PumpOG!$BY125</f>
        <v>6 TC</v>
      </c>
      <c r="BY136" t="str" cm="1">
        <f t="array" ref="BY136">BuildCurveRawTable(E136)</f>
        <v>39.8,0,0,0,;39.3,14.4,20,,;38.9,24.7,30,,;37.45,41,40,,;36,54,45,,;34,69.4,50,,;32,84.5,53,,;28.85,107.2,45,,</v>
      </c>
    </row>
    <row r="137" spans="3:77" x14ac:dyDescent="0.3">
      <c r="C137" t="str">
        <f>PumpOG!B126</f>
        <v>SPSA</v>
      </c>
      <c r="D137" t="str">
        <f>PumpOG!B126</f>
        <v>SPSA</v>
      </c>
      <c r="E137" t="str">
        <f>PumpOG!A126</f>
        <v>8 TC</v>
      </c>
      <c r="BT137" t="str">
        <f>PumpOG!$BY126</f>
        <v>8 TC</v>
      </c>
      <c r="BY137" t="str" cm="1">
        <f t="array" ref="BY137">BuildCurveRawTable(E137)</f>
        <v>35,0,0,0,;34.2,22.5,20,,;33.5,39,30,,;32.9,52,35,,;31.35,72,40,,;28.1,104,42,,;23.7,141.5,40,,</v>
      </c>
    </row>
    <row r="138" spans="3:77" x14ac:dyDescent="0.3">
      <c r="C138" t="str">
        <f>PumpOG!B127</f>
        <v>SPSA</v>
      </c>
      <c r="D138" t="str">
        <f>PumpOG!B127</f>
        <v>SPSA</v>
      </c>
      <c r="E138" t="str">
        <f>PumpOG!A127</f>
        <v>3 TV</v>
      </c>
      <c r="BT138" t="str">
        <f>PumpOG!$BY127</f>
        <v>3 TV;3 TV;3 TV;3 TV</v>
      </c>
      <c r="BY138" t="str" cm="1">
        <f t="array" ref="BY138">BuildCurveRawTable(E138)</f>
        <v>9.6,0,0,0,;8,8.8,35,0,;7.1,12.2,39,0,;4.4,18.2,35,0,;2.5,21.2,32,0,|14.5,0,0,0,;13.5,7.8,35,0,;12.7,10.7,40,0,;10.9,15.1,43,0,;8.2,19.8,40,0,;6.2,23,35,0,;5.1,24.9,33,0,|20.6,0,0,0,;19.5,8.7,35,0,;18.8,11.3,40,0,;16.9,16,45,0,;15.7,18.1,45.35,0,;14.3,20.5,45,0,;11.2,24.6,40,0,;9.1,27.6,35,0,;8.2,28.9,33,0,|28,0,0,0,;26.2,11,35,0,;25.55,13.19,40,0,;23.75,17.4,45,0,;21.5,21,46.5,0,;18.75,24.9,45,0,;15.05,29.2,40,0,;12.8,32.1,35,0,;12.2,32.9,33,0,</v>
      </c>
    </row>
    <row r="139" spans="3:77" x14ac:dyDescent="0.3">
      <c r="C139" t="str">
        <f>PumpOG!B128</f>
        <v>SPSA</v>
      </c>
      <c r="D139" t="str">
        <f>PumpOG!B128</f>
        <v>SPSA</v>
      </c>
      <c r="E139" t="str">
        <f>PumpOG!A128</f>
        <v>VS100R-METAL</v>
      </c>
      <c r="BT139" t="str">
        <f>PumpOG!$BY128</f>
        <v>100 SP</v>
      </c>
      <c r="BY139" t="str" cm="1">
        <f t="array" ref="BY139">BuildCurveRawTable(E139)</f>
        <v>50.2,0,0,0,;50,13,20,0,;49.6,21,30,0,;48.8,32,40,0,;48.1,39,45,0,;46.8,49,50,0,;43.9,68,55,0,;40.7,83.5,56,0,;35.5,104.5,55,0,</v>
      </c>
    </row>
    <row r="140" spans="3:77" x14ac:dyDescent="0.3">
      <c r="C140" t="str">
        <f>PumpOG!B129</f>
        <v>SPSA</v>
      </c>
      <c r="D140" t="str">
        <f>PumpOG!B129</f>
        <v>SPSA</v>
      </c>
      <c r="E140" t="str">
        <f>PumpOG!A129</f>
        <v>VS100R-RUBBER</v>
      </c>
      <c r="BT140" t="str">
        <f>PumpOG!$BY129</f>
        <v>100 SPR</v>
      </c>
      <c r="BY140" t="str" cm="1">
        <f t="array" ref="BY140">BuildCurveRawTable(E140)</f>
        <v>51.9,0,0,0,;51.25,17.5,30,0,;50.8,26,40,0,;50,38,50,0,;49.2,47,55,0,;47.3,62.3,60,0,;42.8,84.8,62,0,;37,106,60,0,</v>
      </c>
    </row>
    <row r="141" spans="3:77" x14ac:dyDescent="0.3">
      <c r="C141" t="str">
        <f>PumpOG!B130</f>
        <v>SPSA</v>
      </c>
      <c r="D141" t="str">
        <f>PumpOG!B130</f>
        <v>SPSA</v>
      </c>
      <c r="E141" t="str">
        <f>PumpOG!A130</f>
        <v>VS150S-METAL</v>
      </c>
      <c r="BT141" t="str">
        <f>PumpOG!$BY130</f>
        <v>150 SP</v>
      </c>
      <c r="BY141" t="str" cm="1">
        <f t="array" ref="BY141">BuildCurveRawTable(E141)</f>
        <v>37.3,0,0,0,;37.2,22,20,0,;36.86,35.2,30,0,;36,54,40,0,;35.35,65,45,0,;34.15,82,50,0,;33.45,90.5,52,0,;29.2,135.5,55,0,;24.4,181,51.89,0,</v>
      </c>
    </row>
    <row r="142" spans="3:77" x14ac:dyDescent="0.3">
      <c r="C142" t="str">
        <f>PumpOG!B131</f>
        <v>SPSA</v>
      </c>
      <c r="D142" t="str">
        <f>PumpOG!B131</f>
        <v>SPSA</v>
      </c>
      <c r="E142" t="str">
        <f>PumpOG!A131</f>
        <v>VS200S-METAL</v>
      </c>
      <c r="BT142" t="str">
        <f>PumpOG!$BY131</f>
        <v>200 SP</v>
      </c>
      <c r="BY142" t="str" cm="1">
        <f t="array" ref="BY142">BuildCurveRawTable(E142)</f>
        <v>40.8,0,0,0,;39.2,52,30,0,;38.4,75,40,0,;37.15,105.5,50,0,;35.2,141,58,0,;33.5,172,62,0,;30.1,228,64,0,;26.05,292,61.95,0,</v>
      </c>
    </row>
    <row r="143" spans="3:77" x14ac:dyDescent="0.3">
      <c r="C143" t="str">
        <f>PumpOG!B132</f>
        <v>SPSA</v>
      </c>
      <c r="D143" t="str">
        <f>PumpOG!B132</f>
        <v>SPSA</v>
      </c>
      <c r="E143" t="str">
        <f>PumpOG!A132</f>
        <v>VS40P-METAL</v>
      </c>
      <c r="BT143" t="str">
        <f>PumpOG!$BY132</f>
        <v>40 SP;40 SP;40 SP;40 SP;40 SP;40 SP;40 SP;40 SP;40 SP;40 SP</v>
      </c>
      <c r="BY143" t="str" cm="1">
        <f t="array" ref="BY143">BuildCurveRawTable(E143)</f>
        <v>5.9,0,0,0,;5.7,2.1,20,0,;5.1,3.8,30,0,;4.2,5.7,33,0,;3.3,7.4,31,0,|8.7,0,0,0,;8.2,2.1,20,0,;7.6,4,30,0,;6.5,6.6,35,0,;5.9,7.5,35.75,0,;4.9,8.8,34.98,0,|11.7,0,0,0,;11.1,2.2,20,0,;10.4,4.1,30,0,;9.4,5.9,35,0,;8.3,7.8,37.87,0,;6.6,10.3,35,0,|15.3,0,0,0,;14.8,2.3,20,0,;13.9,4.3,30,0,;13,5.7,35,0,;10.8,9,38.95,0,;8.6,11.8,35,0,|19.2,0,0,0,;18.6,2.3,20,0,;17.7,4.4,30,0,;16.9,5.7,35,0,;15.4,8,40,0,;13.7,10.1,41.25,0,;12.1,12,40,0,;10.9,13.2,35.65,0,|23.7,0,0,0,;23.1,2.4,20,0,;22.1,4.5,30,0,;21.5,5.6,35,0,;19.9,7.9,40,0,;17,11.3,41.58,0,;14,14.3,39.97,0,|28.8,0,0,0,;28,2.5,20,0,;26.9,4.6,30,0,;24.7,7.9,40,0,;20.6,12.4,42.55,0,;16.7,16.2,40,0,|34.4,0,0,0,;33.6,2.6,20,0,;32.4,4.7,30,0,;31.7,5.8,35,0,;29.9,7.9,40,0,;24.5,13.5,43.87,0,;19.8,17.8,39.97,0,|40.4,0,0,0,;39.4,2.7,20,0,;38.2,4.8,30,0,;37.4,6,35,0,;35.6,8.1,40,0,;28.9,14.7,43.95,0,;23.2,19.3,40,0,|46.8,0,0,0,;45.7,2.8,20,0,;44.6,4.85,30,0,;43.5,6.25,35,0,;41.3,8.55,40,0,;33.3,15.65,44.5,0,;27,20.7,40,0,</v>
      </c>
    </row>
    <row r="144" spans="3:77" x14ac:dyDescent="0.3">
      <c r="C144" t="str">
        <f>PumpOG!B133</f>
        <v>SPSA</v>
      </c>
      <c r="D144" t="str">
        <f>PumpOG!B133</f>
        <v>SPSA</v>
      </c>
      <c r="E144" t="str">
        <f>PumpOG!A133</f>
        <v>VS40P-RUBBER</v>
      </c>
      <c r="BT144" t="str">
        <f>PumpOG!$BY133</f>
        <v>40 SPR</v>
      </c>
      <c r="BY144" t="str" cm="1">
        <f t="array" ref="BY144">BuildCurveRawTable(E144)</f>
        <v>40.6,0,0,0,;39.3,2.9,20,0,;37.5,5.2,30,0,;35.8,6.8,35,0,;32.2,9.6,40,0,;30,11.1,40.5,0,;28,12.3,40,0,;22.2,15.6,35,0,</v>
      </c>
    </row>
    <row r="145" spans="3:77" x14ac:dyDescent="0.3">
      <c r="C145" t="str">
        <f>PumpOG!B134</f>
        <v>SPSA</v>
      </c>
      <c r="D145" t="str">
        <f>PumpOG!B134</f>
        <v>SPSA</v>
      </c>
      <c r="E145" t="str">
        <f>PumpOG!A134</f>
        <v>VS65Q-METAL</v>
      </c>
      <c r="BT145" t="str">
        <f>PumpOG!$BY134</f>
        <v>65 SP-M</v>
      </c>
      <c r="BY145" t="str" cm="1">
        <f t="array" ref="BY145">BuildCurveRawTable(E145)</f>
        <v>48.8,0,0,0,;48.5,7.1,25,0,;47.35,12.3,35,0,;46.65,14.1,40,0,;45,17.9,45,0,;43.5,21.2,48,0,;41.8,24.4,50,0,;39,29.3,51,0,;35.5,35,50,0,;32.5,40.1,48,0,</v>
      </c>
    </row>
    <row r="146" spans="3:77" x14ac:dyDescent="0.3">
      <c r="C146" t="str">
        <f>PumpOG!B135</f>
        <v>SPSA</v>
      </c>
      <c r="D146" t="str">
        <f>PumpOG!B135</f>
        <v>SPSA</v>
      </c>
      <c r="E146" t="str">
        <f>PumpOG!A135</f>
        <v>VS65Q-RUBBER</v>
      </c>
      <c r="BT146" t="str">
        <f>PumpOG!$BY135</f>
        <v>65 SPR;65 SPR;65 SPR;65 SPR;65 SPR;65 SPR;65 SPR</v>
      </c>
      <c r="BY146" t="str" cm="1">
        <f t="array" ref="BY146">BuildCurveRawTable(E146)</f>
        <v>6.9,0,0,0,;6.9,2.1,20,0,;6.7,4,30,0,;6.6,6,40,0,;6.4,7.7,45,0,;5.6,11.5,46,0,;4.4,15.3,45,0,|11.7,0,0,0,;11.6,2.7,20,0,;11.5,4.9,30,0,;11,7.7,40,0,;10.6,10,45,0,;9.4,14.6,47,0,;7.6,19.5,45,0,|17.6,0,0,0,;17.5,3.2,20,0,;17.1,5.9,30,0,;16.6,9.4,40,0,;16,12.2,45,0,;14.6,17,50,0,;14.3,18.1,50.1,0,;13.7,19.1,50,0,;11.4,24.2,45,0,|24.5,0,0,0,;24.3,4,20,0,;24,7,30,0,;23.2,11.2,40,0,;22.5,14.2,45,0,;21,18.7,50,0,;19.8,21.5,50.2,0,;18.8,23.4,50,0,;15.6,28.7,45,0,|32.6,0,0,0,;32.3,4.8,20,0,;31.8,8.2,30,0,;30.9,12.7,40,0,;30.1,16,45,0,;28.2,21,50,0,;26.3,24.9,50.3,0,;24.9,27.1,50,0,;20.6,33,45,0,|41.9,0,0,0,;41.6,5.6,20,0,;41.1,9.5,30,0,;40.1,14.3,40,0,;38.8,17.9,45,0,;36.5,23.7,50,0,;34,28,50.4,0,;32.1,30.8,50,0,;26.6,37.4,45,0,|49.8,0,0,0,;49.4,6.2,20,0,;48.8,10.5,30,0,;47.5,15.4,40,0,;46,19.5,45,0,;43,26,50,0,;40.6,30.1,50.5,0,;38,33.7,50,0,;31.7,40.5,45,0,</v>
      </c>
    </row>
    <row r="147" spans="3:77" x14ac:dyDescent="0.3">
      <c r="C147" t="str">
        <f>PumpOG!B136</f>
        <v>SPSA</v>
      </c>
      <c r="D147" t="str">
        <f>PumpOG!B136</f>
        <v>SPSA</v>
      </c>
      <c r="E147" t="str">
        <f>PumpOG!A136</f>
        <v>VT100R-METAL</v>
      </c>
      <c r="BT147" t="str">
        <f>PumpOG!$BY136</f>
        <v>VT100R-METAL</v>
      </c>
      <c r="BY147" t="str" cm="1">
        <f t="array" ref="BY147">BuildCurveRawTable(E147)</f>
        <v>29.1,0,0,0,;28.9,7,20,0,;28.7,12.1,30,0,;28.3,19.2,40,0,;27.5,28,50,0,;26.6,36,55,0,;23.8,51.8,58,0,;21.5,61.6,55,0,</v>
      </c>
    </row>
    <row r="148" spans="3:77" x14ac:dyDescent="0.3">
      <c r="C148" t="str">
        <f>PumpOG!B137</f>
        <v>SPSA</v>
      </c>
      <c r="D148" t="str">
        <f>PumpOG!B137</f>
        <v>SPSA</v>
      </c>
      <c r="E148" t="str">
        <f>PumpOG!A137</f>
        <v>VT150R-METAL</v>
      </c>
      <c r="BT148" t="str">
        <f>PumpOG!$BY137</f>
        <v>VT150R-METAL</v>
      </c>
      <c r="BY148" t="str" cm="1">
        <f t="array" ref="BY148">BuildCurveRawTable(E148)</f>
        <v>25.2,0,0,0,;25.3,20.2,20,0,;25.1,32.1,30,0,;24.7,48.4,40,0,;24.1,59.5,45,0,;23.4,71.6,50,0,;21.8,92.1,55,0,;20,109.9,56,0,;18.4,122.7,55,0,</v>
      </c>
    </row>
    <row r="149" spans="3:77" x14ac:dyDescent="0.3">
      <c r="C149" t="str">
        <f>PumpOG!B138</f>
        <v>SPSA</v>
      </c>
      <c r="D149" t="str">
        <f>PumpOG!B138</f>
        <v>SPSA</v>
      </c>
      <c r="E149" t="str">
        <f>PumpOG!A138</f>
        <v>VT200S-METAL</v>
      </c>
      <c r="BT149" t="str">
        <f>PumpOG!$BY138</f>
        <v>VT200S-METAL</v>
      </c>
      <c r="BY149" t="str" cm="1">
        <f t="array" ref="BY149">BuildCurveRawTable(E149)</f>
        <v>26.6,0,0,0,;25.9,40.1,30,0,;25.2,64.6,40,0,;23.9,102.3,50,0,;22.1,148.9,55,0,;20.8,176.7,55.7,0,;19.2,205.4,55,0,</v>
      </c>
    </row>
    <row r="150" spans="3:77" x14ac:dyDescent="0.3">
      <c r="C150" t="str">
        <f>PumpOG!B139</f>
        <v>SPSA</v>
      </c>
      <c r="D150" t="str">
        <f>PumpOG!B139</f>
        <v>SPSA</v>
      </c>
      <c r="E150" t="str">
        <f>PumpOG!A139</f>
        <v>VT50Q-METAL</v>
      </c>
      <c r="BT150" t="str">
        <f>PumpOG!$BY139</f>
        <v>VT50Q-METAL</v>
      </c>
      <c r="BY150" t="str" cm="1">
        <f t="array" ref="BY150">BuildCurveRawTable(E150)</f>
        <v>30.2,0,0,0,;30,2.6,20,0,;29.6,4.5,30,0,;28.4,7.3,40,0,;27,9.5,45,0,;25,12,47,0,;22.7,14.2,45,0,</v>
      </c>
    </row>
    <row r="151" spans="3:77" x14ac:dyDescent="0.3">
      <c r="C151" t="str">
        <f>PumpOG!B140</f>
        <v>SPSA</v>
      </c>
      <c r="D151" t="str">
        <f>PumpOG!B140</f>
        <v>SPSA</v>
      </c>
      <c r="E151" t="str">
        <f>PumpOG!A140</f>
        <v>VT80Q-METAL</v>
      </c>
      <c r="BT151" t="str">
        <f>PumpOG!$BY140</f>
        <v>VT80Q-METAL</v>
      </c>
      <c r="BY151" t="str" cm="1">
        <f t="array" ref="BY151">BuildCurveRawTable(E151)</f>
        <v>29.4,0,0,0,;28.9,6.5,20,0,;28.5,10.4,30,0,;27.9,15,40,0,;26.8,22.2,50,0,;25.6,28.7,55,0,;23.9,36.2,57,0,;22.5,41,54.98,0,</v>
      </c>
    </row>
    <row r="152" spans="3:77" x14ac:dyDescent="0.3">
      <c r="C152" t="str">
        <f>PumpOG!B141</f>
        <v>SPSA</v>
      </c>
      <c r="D152" t="str">
        <f>PumpOG!B141</f>
        <v>SPSA</v>
      </c>
      <c r="E152" t="str">
        <f>PumpOG!A141</f>
        <v>WHP100-400PE</v>
      </c>
      <c r="BT152" t="str">
        <f>PumpOG!$BY141</f>
        <v>100 PCH-M</v>
      </c>
      <c r="BY152" t="str" cm="1">
        <f t="array" ref="BY152">BuildCurveRawTable(E152)</f>
        <v>132.5,0,0,4.7,;131.2,22.5,40,4.7,;129.2,32,50,5.5,;123.5,46.5,60,5.9,;115,61.7,65,6.5,;104,77.7,67,7.9,;90.3,94.7,65,9.4,;76,110.8,60,10.6,</v>
      </c>
    </row>
    <row r="153" spans="3:77" x14ac:dyDescent="0.3">
      <c r="C153" t="str">
        <f>PumpOG!B142</f>
        <v>SPSA</v>
      </c>
      <c r="D153" t="str">
        <f>PumpOG!B142</f>
        <v>SPSA</v>
      </c>
      <c r="E153" t="str">
        <f>PumpOG!A142</f>
        <v>WHP100-500PE</v>
      </c>
      <c r="BT153" t="str">
        <f>PumpOG!$BY142</f>
        <v>100 PCH-M</v>
      </c>
      <c r="BY153" t="str" cm="1">
        <f t="array" ref="BY153">BuildCurveRawTable(E153)</f>
        <v>132.5,0,0,4.7,;131.2,22.5,40,4.7,;129.2,34,50,5.5,;123.5,46.5,60,5.9,;115,61.7,65,6.5,;104,77.7,67,7.9,;90.3,94.7,65,9.4,;76,110.8,60,10.6,</v>
      </c>
    </row>
    <row r="154" spans="3:77" x14ac:dyDescent="0.3">
      <c r="C154" t="str">
        <f>PumpOG!B143</f>
        <v>SPSA</v>
      </c>
      <c r="D154" t="str">
        <f>PumpOG!B143</f>
        <v>SPSA</v>
      </c>
      <c r="E154" t="str">
        <f>PumpOG!A143</f>
        <v>WHP125-330P</v>
      </c>
      <c r="BT154" t="str">
        <f>PumpOG!$BY143</f>
        <v>WHP125-330P</v>
      </c>
      <c r="BY154" t="str" cm="1">
        <f t="array" ref="BY154">BuildCurveRawTable(E154)</f>
        <v>142.7,0,0,3.2,;148.4,17.5,35,4,;150,32.8,50,4.5,;149.4,41.1,57,5.4,;148.1,48.9,62,5.9,;145.7,56.9,66,6.5,;142.7,66.1,69,7.2,;139,73.2,70.5,7.8,;131.1,85.3,71.5,8.5,;120.8,98.5,70.5,9,;114.1,105.6,69,9.5,;104.3,114.6,66,10,;100.7,117.9,64,10.4,</v>
      </c>
    </row>
    <row r="155" spans="3:77" x14ac:dyDescent="0.3">
      <c r="C155" t="str">
        <f>PumpOG!B144</f>
        <v>SPSA</v>
      </c>
      <c r="D155" t="str">
        <f>PumpOG!B144</f>
        <v>SPSA</v>
      </c>
      <c r="E155" t="str">
        <f>PumpOG!A144</f>
        <v>WHP150-400PE</v>
      </c>
      <c r="BT155" t="str">
        <f>PumpOG!$BY144</f>
        <v>100 PCH-M</v>
      </c>
      <c r="BY155" t="str" cm="1">
        <f t="array" ref="BY155">BuildCurveRawTable(E155)</f>
        <v>80,0,0,2.9,;79.1,29,40,2.9,;77.9,42.9,50,3,;75.7,61.6,60,3.4,;71.1,89.8,70,4.5,;68.3,102.6,73,5.2,;60.3,133.4,76,7.6,;50.6,163.1,73,10.6,</v>
      </c>
    </row>
    <row r="156" spans="3:77" x14ac:dyDescent="0.3">
      <c r="C156" t="str">
        <f>PumpOG!B145</f>
        <v>SPSA</v>
      </c>
      <c r="D156" t="str">
        <f>PumpOG!B145</f>
        <v>SPSA</v>
      </c>
      <c r="E156" t="str">
        <f>PumpOG!A145</f>
        <v>WHP150-440Q</v>
      </c>
      <c r="BT156" t="str">
        <f>PumpOG!$BY145</f>
        <v>WHP150-440Q;WHP150-440Q;WHP150-440Q</v>
      </c>
      <c r="BY156" t="str" cm="1">
        <f t="array" ref="BY156">BuildCurveRawTable(E156)</f>
        <v>28.4,0,0,0,;30.1,15.2,30,0,;30.3,26.9,50,0,;30.3,36.7,60,0,;30.1,48.4,68,0,;29.2,58.7,72,0,;28.4,67,74,0,;27,75.8,74.7,0,;25.7,83.7,74,0,;23.7,92.5,72,0,;21.2,102.3,69,0,|74.2,0,0,0,;77.2,22.5,30,0,;78.6,42.1,50,0,;78.6,56.8,60,0,;77.8,74.9,68,0,;76.4,89,72,0,;74.8,99.8,74,0,;72.6,110.1,75,0,;70.3,120.8,75.7,0,;67.3,130.6,75,0,;64.3,140.4,74,0,;60.1,152.6,72,0,;54.1,167.3,69,0,|141.2,0,0,3,;146.8,32.8,35,4,;148.7,57.2,50,4.7,;149,77.8,60,4.9,;147.3,101.8,68,6.8,;144.8,120.4,72,7.4,;142.1,134.5,74,7.6,;139.3,145.8,75,7.7,;133.5,165.4,75.7,9.8,;125.2,186.4,75,9.7,;120.3,197.2,74,10.9,;112.8,212.3,72,11.4,;104,228,69,12,</v>
      </c>
    </row>
    <row r="157" spans="3:77" x14ac:dyDescent="0.3">
      <c r="C157" t="str">
        <f>PumpOG!B146</f>
        <v>SPSA</v>
      </c>
      <c r="D157" t="str">
        <f>PumpOG!B146</f>
        <v>SPSA</v>
      </c>
      <c r="E157" t="str">
        <f>PumpOG!A146</f>
        <v>WHP150-500PF</v>
      </c>
      <c r="BT157" t="str">
        <f>PumpOG!$BY146</f>
        <v>150 PCH-M</v>
      </c>
      <c r="BY157" t="str" cm="1">
        <f t="array" ref="BY157">BuildCurveRawTable(E157)</f>
        <v>132.5,0,0,3.9,;131,47,50,3.9,;128.2,70.5,60,4.3,;124.9,85.5,65,4.7,;118.1,109.5,70,5.6,;104,150,73,7.6,;82.5,194,70,11,</v>
      </c>
    </row>
    <row r="158" spans="3:77" x14ac:dyDescent="0.3">
      <c r="C158" t="str">
        <f>PumpOG!B147</f>
        <v>SPSA</v>
      </c>
      <c r="D158" t="str">
        <f>PumpOG!B147</f>
        <v>SPSA</v>
      </c>
      <c r="E158" t="str">
        <f>PumpOG!A147</f>
        <v>WHP200-500PF</v>
      </c>
      <c r="BT158" t="str">
        <f>PumpOG!$BY147</f>
        <v>WHP200-500PF</v>
      </c>
      <c r="BY158" t="str" cm="1">
        <f t="array" ref="BY158">BuildCurveRawTable(E158)</f>
        <v>79.4,0,0,3.4,;80.2,64.1,50,3.4,;79.4,85.9,60,3.6,;76.9,124.6,70,4.1,;73.6,157.3,75,4.7,;71.3,176.6,77,5.3,;61.3,237.7,79,7.7,;50.4,290.9,77,10.5,</v>
      </c>
    </row>
    <row r="159" spans="3:77" x14ac:dyDescent="0.3">
      <c r="C159" t="str">
        <f>PumpOG!B148</f>
        <v>SPSA</v>
      </c>
      <c r="D159" t="str">
        <f>PumpOG!B148</f>
        <v>SPSA</v>
      </c>
      <c r="E159" t="str">
        <f>PumpOG!A148</f>
        <v>WHP200-550R</v>
      </c>
      <c r="BT159" t="str">
        <f>PumpOG!$BY148</f>
        <v>WHP200-550R;WHP200-550R;WHP200-550R</v>
      </c>
      <c r="BY159" t="str" cm="1">
        <f t="array" ref="BY159">BuildCurveRawTable(E159)</f>
        <v>16.7,0,0,0,;17.2,20.4,40,0,;17.5,36.9,50,0,;17.2,51,60,0,;17,69.8,68,0,;15.5,97.3,70,0,;12.8,126.3,68,0,|83.6,0,0,0,;87.4,43.9,40,0,;88,69,50,0,;88.3,93.3,60,0,;87.4,120,68,0,;86.2,145.1,73,0,;84.2,167.8,76,0,;80.9,195.3,78,0,;76.7,222,78.6,0,;72.3,248.6,78,0,;66.3,276.9,76,0,;60.7,302,73,0,|144.2,0,0,2.9,;149.3,52.5,40,3.9,;150.8,87.1,50,4.7,;151.1,117.6,60,5.4,;150.2,153.7,68,6.1,;148.1,185.9,73,6.8,;144.5,216.5,76,7.6,;139.5,254.1,78,8.4,;132,293.3,78.6,9,;123.4,331.8,78,9.5,;112.4,372.5,76,10,;103.2,400,72,10.5,</v>
      </c>
    </row>
    <row r="160" spans="3:77" x14ac:dyDescent="0.3">
      <c r="C160" t="str">
        <f>PumpOG!B149</f>
        <v>SPSA</v>
      </c>
      <c r="D160" t="str">
        <f>PumpOG!B149</f>
        <v>SPSA</v>
      </c>
      <c r="E160" t="str">
        <f>PumpOG!A149</f>
        <v>26/22-MD550G-M</v>
      </c>
      <c r="BT160" t="str">
        <f>PumpOG!$BY149</f>
        <v>26/22-MD550G-M;26/22-MD550G-M;26/22-MD550G-M</v>
      </c>
      <c r="BY160" t="str" cm="1">
        <f t="array" ref="BY160">BuildCurveRawTable(E160)</f>
        <v>14.4,0,0,2.1,;14.5,377.2,60,2.3,;14.3,515,70,2.5,;14,664.7,78,2.5,;13.5,754.5,81,2.6,;12.9,880.2,84,2.9,;11.7,1096,86,3.2,;10.6,1281,84,3,;9.8,1401,80.9,3.3,|36.7,0,0,0,;37.1,616.8,60,0,;36.4,826.3,70,0,;35.2,1072,78,0,;34.4,1210,81,0,;33,1407,84,0,;30,1743,86,0,;27,2054,84,11.6,;25.2,2234,80.9,11.9,|51.8,0,0,8,;51.9,730.5,60,8.6,;51.2,982,70,9,;49.4,1270,78,9.5,;48.5,1443,81,10.1,;46.2,1677,84,10.5,;42.2,2066,86,11.4,;37.9,2437,84,12,;35.5,2653,80.9,12,</v>
      </c>
    </row>
    <row r="161" spans="3:77" x14ac:dyDescent="0.3">
      <c r="C161" t="str">
        <f>PumpOG!B150</f>
        <v>SPSA</v>
      </c>
      <c r="D161" t="str">
        <f>PumpOG!B150</f>
        <v>SPSA</v>
      </c>
      <c r="E161" t="str">
        <f>PumpOG!A150</f>
        <v>26/22-MD550G-R</v>
      </c>
      <c r="BT161" t="str">
        <f>PumpOG!$BY150</f>
        <v>26/22-MD550G-R;26/22-MD550G-R;26/22-MD550G-R</v>
      </c>
      <c r="BY161" t="str" cm="1">
        <f t="array" ref="BY161">BuildCurveRawTable(E161)</f>
        <v>14.6,0,0,2.1,;15,267.5,50,2.4,;15,345.3,60,2.6,;14.9,462.1,70,2.6,;14.8,544.7,75,2.7,;14.6,651.8,80,2.7,;13.9,822,85,2.9,;12.4,1119,88,3.3,;10.6,1362,84.9,3.7,|28.6,0,0,0,;29.3,374.5,50,0,;29.4,491.2,60,0,;29.1,656.6,70,0,;29,758.8,75,0,;28.4,909.5,80,0,;27.1,1143,85,0,;24.2,1561,88,0,;20.7,1912,84.8,0,|41.8,0,0,6.3,;43.2,452.3,50,6.7,;43,598.2,60,7.2,;42.9,797.7,70,7.4,;42.3,929,75,7.5,;41.7,1109,80,7.7,;40,1396,85,8.2,;35.6,1897,88,9.5,;30.6,2325,84.8,10.6,</v>
      </c>
    </row>
    <row r="162" spans="3:77" x14ac:dyDescent="0.3">
      <c r="C162" t="str">
        <f>PumpOG!B151</f>
        <v>SPSA</v>
      </c>
      <c r="D162" t="str">
        <f>PumpOG!B151</f>
        <v>SPSA</v>
      </c>
      <c r="E162" t="str">
        <f>PumpOG!A151</f>
        <v>26/22-MD550TU-M</v>
      </c>
      <c r="BT162" t="str">
        <f>PumpOG!$BY151</f>
        <v>26/22-MD550G-M;26/22-MD550G-M;26/22-MD550G-M</v>
      </c>
      <c r="BY162" t="str" cm="1">
        <f t="array" ref="BY162">BuildCurveRawTable(E162)</f>
        <v>14.4,0,0,2.1,;14.5,377.2,60,2.3,;14.3,515,70,2.5,;14,664.7,78,2.5,;13.5,754.5,81,2.6,;12.9,880.2,84,2.9,;11.7,1096,86,3.2,;10.6,1281,84,3,;9.8,1401,80.9,3.3,|36.7,0,0,0,;37.1,616.8,60,0,;36.4,826.3,70,0,;35.2,1072,78,0,;34.4,1210,81,0,;33,1407,84,0,;30,1743,86,0,;27,2054,84,11.6,;25.2,2234,80.9,11.9,|51.8,0,0,8,;51.9,730.5,60,8.6,;51.2,982,70,9,;49.4,1270,78,9.5,;48.5,1443,81,10.1,;46.2,1677,84,10.5,;42.2,2066,86,11.4,;37.9,2437,84,12,;35.5,2653,80.9,12,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D670-A2CE-4FA4-B9BE-39016F7A6218}">
  <sheetPr codeName="Sheet2"/>
  <dimension ref="A1:JM151"/>
  <sheetViews>
    <sheetView tabSelected="1" workbookViewId="0">
      <pane xSplit="5" ySplit="1" topLeftCell="F38" activePane="bottomRight" state="frozen"/>
      <selection pane="topRight" activeCell="F1" sqref="F1"/>
      <selection pane="bottomLeft" activeCell="A2" sqref="A2"/>
      <selection pane="bottomRight" activeCell="J13" sqref="J13"/>
    </sheetView>
  </sheetViews>
  <sheetFormatPr defaultRowHeight="14.4" x14ac:dyDescent="0.3"/>
  <cols>
    <col min="1" max="1" width="21" customWidth="1"/>
    <col min="83" max="83" width="53.44140625" customWidth="1"/>
    <col min="84" max="84" width="19.5546875" customWidth="1"/>
    <col min="85" max="85" width="29.44140625" customWidth="1"/>
    <col min="86" max="86" width="15.5546875" customWidth="1"/>
    <col min="87" max="88" width="25.77734375" customWidth="1"/>
    <col min="264" max="264" width="48.21875" bestFit="1" customWidth="1"/>
  </cols>
  <sheetData>
    <row r="1" spans="1:273" s="3" customFormat="1" x14ac:dyDescent="0.3">
      <c r="A1" s="3" t="s">
        <v>318</v>
      </c>
      <c r="B1" s="3" t="s">
        <v>319</v>
      </c>
      <c r="C1" s="3" t="s">
        <v>320</v>
      </c>
      <c r="D1" s="3" t="s">
        <v>321</v>
      </c>
      <c r="E1" s="3" t="s">
        <v>322</v>
      </c>
      <c r="F1" s="3" t="s">
        <v>323</v>
      </c>
      <c r="G1" s="3" t="s">
        <v>324</v>
      </c>
      <c r="H1" s="3" t="s">
        <v>325</v>
      </c>
      <c r="I1" s="3" t="s">
        <v>326</v>
      </c>
      <c r="J1" s="3" t="s">
        <v>327</v>
      </c>
      <c r="K1" s="3" t="s">
        <v>328</v>
      </c>
      <c r="L1" s="3" t="s">
        <v>329</v>
      </c>
      <c r="M1" s="3" t="s">
        <v>330</v>
      </c>
      <c r="N1" s="3" t="s">
        <v>331</v>
      </c>
      <c r="O1" s="3" t="s">
        <v>332</v>
      </c>
      <c r="P1" s="3" t="s">
        <v>333</v>
      </c>
      <c r="Q1" s="3" t="s">
        <v>334</v>
      </c>
      <c r="R1" s="3" t="s">
        <v>335</v>
      </c>
      <c r="S1" s="3" t="s">
        <v>336</v>
      </c>
      <c r="T1" s="3" t="s">
        <v>337</v>
      </c>
      <c r="U1" s="3" t="s">
        <v>338</v>
      </c>
      <c r="V1" s="3" t="s">
        <v>339</v>
      </c>
      <c r="W1" s="3" t="s">
        <v>340</v>
      </c>
      <c r="X1" s="3" t="s">
        <v>341</v>
      </c>
      <c r="Y1" s="3" t="s">
        <v>342</v>
      </c>
      <c r="Z1" s="3" t="s">
        <v>343</v>
      </c>
      <c r="AA1" s="3" t="s">
        <v>344</v>
      </c>
      <c r="AB1" s="3" t="s">
        <v>345</v>
      </c>
      <c r="AC1" s="3" t="s">
        <v>346</v>
      </c>
      <c r="AD1" s="3" t="s">
        <v>347</v>
      </c>
      <c r="AE1" s="3" t="s">
        <v>348</v>
      </c>
      <c r="AF1" s="3" t="s">
        <v>349</v>
      </c>
      <c r="AG1" s="3" t="s">
        <v>350</v>
      </c>
      <c r="AH1" s="3" t="s">
        <v>351</v>
      </c>
      <c r="AI1" s="3" t="s">
        <v>352</v>
      </c>
      <c r="AJ1" s="3" t="s">
        <v>353</v>
      </c>
      <c r="AK1" s="3" t="s">
        <v>354</v>
      </c>
      <c r="AL1" s="3" t="s">
        <v>355</v>
      </c>
      <c r="AM1" s="3" t="s">
        <v>356</v>
      </c>
      <c r="AN1" s="3" t="s">
        <v>357</v>
      </c>
      <c r="AO1" s="3" t="s">
        <v>358</v>
      </c>
      <c r="AP1" s="3" t="s">
        <v>359</v>
      </c>
      <c r="AQ1" s="3" t="s">
        <v>360</v>
      </c>
      <c r="AR1" s="3" t="s">
        <v>361</v>
      </c>
      <c r="AS1" s="3" t="s">
        <v>362</v>
      </c>
      <c r="AT1" s="3" t="s">
        <v>363</v>
      </c>
      <c r="AU1" s="3" t="s">
        <v>364</v>
      </c>
      <c r="AV1" s="3" t="s">
        <v>365</v>
      </c>
      <c r="AW1" s="3" t="s">
        <v>366</v>
      </c>
      <c r="AX1" s="3" t="s">
        <v>367</v>
      </c>
      <c r="AY1" s="3" t="s">
        <v>368</v>
      </c>
      <c r="AZ1" s="3" t="s">
        <v>369</v>
      </c>
      <c r="BA1" s="3" t="s">
        <v>370</v>
      </c>
      <c r="BB1" s="3" t="s">
        <v>371</v>
      </c>
      <c r="BC1" s="3" t="s">
        <v>372</v>
      </c>
      <c r="BD1" s="3" t="s">
        <v>373</v>
      </c>
      <c r="BE1" s="3" t="s">
        <v>374</v>
      </c>
      <c r="BF1" s="3" t="s">
        <v>375</v>
      </c>
      <c r="BG1" s="3" t="s">
        <v>376</v>
      </c>
      <c r="BH1" s="3" t="s">
        <v>377</v>
      </c>
      <c r="BI1" s="3" t="s">
        <v>378</v>
      </c>
      <c r="BJ1" s="3" t="s">
        <v>379</v>
      </c>
      <c r="BK1" s="3" t="s">
        <v>380</v>
      </c>
      <c r="BL1" s="3" t="s">
        <v>381</v>
      </c>
      <c r="BM1" s="3" t="s">
        <v>382</v>
      </c>
      <c r="BN1" s="3" t="s">
        <v>383</v>
      </c>
      <c r="BO1" s="3" t="s">
        <v>384</v>
      </c>
      <c r="BP1" s="3" t="s">
        <v>385</v>
      </c>
      <c r="BQ1" s="3" t="s">
        <v>386</v>
      </c>
      <c r="BR1" s="3" t="s">
        <v>387</v>
      </c>
      <c r="BS1" s="3" t="s">
        <v>388</v>
      </c>
      <c r="BT1" s="3" t="s">
        <v>389</v>
      </c>
      <c r="BU1" s="3" t="s">
        <v>390</v>
      </c>
      <c r="BV1" s="3" t="s">
        <v>391</v>
      </c>
      <c r="BW1" s="3" t="s">
        <v>392</v>
      </c>
      <c r="BX1" s="3" t="s">
        <v>393</v>
      </c>
      <c r="BY1" s="3" t="s">
        <v>394</v>
      </c>
      <c r="BZ1" s="3" t="s">
        <v>395</v>
      </c>
      <c r="CA1" s="3" t="s">
        <v>396</v>
      </c>
      <c r="CB1" s="3" t="s">
        <v>397</v>
      </c>
      <c r="CC1" s="3" t="s">
        <v>398</v>
      </c>
      <c r="CD1" s="3" t="s">
        <v>399</v>
      </c>
      <c r="CE1" s="3" t="s">
        <v>400</v>
      </c>
      <c r="CF1" s="3" t="s">
        <v>401</v>
      </c>
      <c r="CG1" s="3" t="s">
        <v>402</v>
      </c>
      <c r="CI1" s="3" t="s">
        <v>403</v>
      </c>
      <c r="CK1" s="3" t="s">
        <v>404</v>
      </c>
      <c r="CL1" s="3" t="s">
        <v>405</v>
      </c>
      <c r="CM1" s="3" t="s">
        <v>406</v>
      </c>
      <c r="CN1" s="3" t="s">
        <v>407</v>
      </c>
      <c r="CO1" s="3" t="s">
        <v>408</v>
      </c>
      <c r="CP1" s="3" t="s">
        <v>409</v>
      </c>
      <c r="CQ1" s="3" t="s">
        <v>410</v>
      </c>
      <c r="CR1" s="3" t="s">
        <v>411</v>
      </c>
      <c r="CS1" s="3" t="s">
        <v>412</v>
      </c>
      <c r="CT1" s="3" t="s">
        <v>413</v>
      </c>
      <c r="CU1" s="3" t="s">
        <v>414</v>
      </c>
      <c r="CV1" s="3" t="s">
        <v>415</v>
      </c>
      <c r="CW1" s="3" t="s">
        <v>416</v>
      </c>
      <c r="CX1" s="3" t="s">
        <v>417</v>
      </c>
      <c r="CY1" s="3" t="s">
        <v>418</v>
      </c>
      <c r="CZ1" s="3" t="s">
        <v>419</v>
      </c>
      <c r="DA1" s="3" t="s">
        <v>420</v>
      </c>
      <c r="DB1" s="3" t="s">
        <v>421</v>
      </c>
      <c r="DC1" s="3" t="s">
        <v>422</v>
      </c>
      <c r="DD1" s="3" t="s">
        <v>423</v>
      </c>
      <c r="DE1" s="3" t="s">
        <v>424</v>
      </c>
      <c r="DF1" s="3" t="s">
        <v>425</v>
      </c>
      <c r="DG1" s="3" t="s">
        <v>426</v>
      </c>
      <c r="DH1" s="3" t="s">
        <v>427</v>
      </c>
      <c r="DI1" s="3" t="s">
        <v>428</v>
      </c>
      <c r="DJ1" s="3" t="s">
        <v>429</v>
      </c>
      <c r="DK1" s="3" t="s">
        <v>430</v>
      </c>
      <c r="DL1" s="3" t="s">
        <v>431</v>
      </c>
      <c r="DM1" s="3" t="s">
        <v>432</v>
      </c>
      <c r="DN1" s="3" t="s">
        <v>433</v>
      </c>
      <c r="DO1" s="3" t="s">
        <v>434</v>
      </c>
      <c r="DP1" s="3" t="s">
        <v>435</v>
      </c>
      <c r="DQ1" s="3" t="s">
        <v>436</v>
      </c>
      <c r="DR1" s="3" t="s">
        <v>437</v>
      </c>
      <c r="DS1" s="3" t="s">
        <v>438</v>
      </c>
      <c r="DT1" s="3" t="s">
        <v>439</v>
      </c>
      <c r="DU1" s="3" t="s">
        <v>440</v>
      </c>
      <c r="DV1" s="3" t="s">
        <v>441</v>
      </c>
      <c r="DW1" s="3" t="s">
        <v>442</v>
      </c>
      <c r="DX1" s="3" t="s">
        <v>443</v>
      </c>
      <c r="DY1" s="3" t="s">
        <v>444</v>
      </c>
      <c r="DZ1" s="3" t="s">
        <v>445</v>
      </c>
      <c r="EA1" s="3" t="s">
        <v>446</v>
      </c>
      <c r="EB1" s="3" t="s">
        <v>447</v>
      </c>
      <c r="EC1" s="3" t="s">
        <v>448</v>
      </c>
      <c r="ED1" s="3" t="s">
        <v>449</v>
      </c>
      <c r="EE1" s="3" t="s">
        <v>450</v>
      </c>
      <c r="EF1" s="3" t="s">
        <v>451</v>
      </c>
      <c r="EG1" s="3" t="s">
        <v>452</v>
      </c>
      <c r="EH1" s="3" t="s">
        <v>453</v>
      </c>
      <c r="EI1" s="3" t="s">
        <v>454</v>
      </c>
      <c r="EJ1" s="3" t="s">
        <v>455</v>
      </c>
      <c r="EK1" s="3" t="s">
        <v>456</v>
      </c>
      <c r="EL1" s="3" t="s">
        <v>457</v>
      </c>
      <c r="EM1" s="3" t="s">
        <v>458</v>
      </c>
      <c r="EN1" s="3" t="s">
        <v>459</v>
      </c>
      <c r="EO1" s="3" t="s">
        <v>460</v>
      </c>
      <c r="EP1" s="3" t="s">
        <v>461</v>
      </c>
      <c r="EQ1" s="3" t="s">
        <v>462</v>
      </c>
      <c r="ER1" s="3" t="s">
        <v>463</v>
      </c>
      <c r="ES1" s="3" t="s">
        <v>464</v>
      </c>
      <c r="ET1" s="3" t="s">
        <v>465</v>
      </c>
      <c r="EU1" s="3" t="s">
        <v>466</v>
      </c>
      <c r="EV1" s="3" t="s">
        <v>467</v>
      </c>
      <c r="EW1" s="3" t="s">
        <v>468</v>
      </c>
      <c r="EX1" s="3" t="s">
        <v>469</v>
      </c>
      <c r="EY1" s="3" t="s">
        <v>470</v>
      </c>
      <c r="EZ1" s="3" t="s">
        <v>471</v>
      </c>
      <c r="FA1" s="3" t="s">
        <v>472</v>
      </c>
      <c r="FB1" s="3" t="s">
        <v>473</v>
      </c>
      <c r="FC1" s="3" t="s">
        <v>474</v>
      </c>
      <c r="FD1" s="3" t="s">
        <v>475</v>
      </c>
      <c r="FE1" s="3" t="s">
        <v>476</v>
      </c>
      <c r="FF1" s="3" t="s">
        <v>477</v>
      </c>
      <c r="FG1" s="3" t="s">
        <v>478</v>
      </c>
      <c r="FH1" s="3" t="s">
        <v>479</v>
      </c>
      <c r="FI1" s="3" t="s">
        <v>480</v>
      </c>
      <c r="FJ1" s="3" t="s">
        <v>481</v>
      </c>
      <c r="FK1" s="3" t="s">
        <v>482</v>
      </c>
      <c r="FL1" s="3" t="s">
        <v>483</v>
      </c>
      <c r="FM1" s="3" t="s">
        <v>484</v>
      </c>
      <c r="FN1" s="3" t="s">
        <v>485</v>
      </c>
      <c r="FO1" s="3" t="s">
        <v>486</v>
      </c>
      <c r="FP1" s="3" t="s">
        <v>487</v>
      </c>
      <c r="FQ1" s="3" t="s">
        <v>488</v>
      </c>
      <c r="FR1" s="3" t="s">
        <v>489</v>
      </c>
      <c r="FS1" s="3" t="s">
        <v>490</v>
      </c>
      <c r="FT1" s="3" t="s">
        <v>491</v>
      </c>
      <c r="FU1" s="3" t="s">
        <v>492</v>
      </c>
      <c r="FV1" s="3" t="s">
        <v>493</v>
      </c>
      <c r="FW1" s="3" t="s">
        <v>494</v>
      </c>
      <c r="FX1" s="3" t="s">
        <v>495</v>
      </c>
      <c r="FY1" s="3" t="s">
        <v>496</v>
      </c>
      <c r="FZ1" s="3" t="s">
        <v>497</v>
      </c>
      <c r="GA1" s="3" t="s">
        <v>498</v>
      </c>
      <c r="GB1" s="3" t="s">
        <v>499</v>
      </c>
      <c r="GC1" s="3" t="s">
        <v>500</v>
      </c>
      <c r="GD1" s="3" t="s">
        <v>501</v>
      </c>
      <c r="GE1" s="3" t="s">
        <v>502</v>
      </c>
      <c r="GF1" s="3" t="s">
        <v>503</v>
      </c>
      <c r="GG1" s="3" t="s">
        <v>504</v>
      </c>
      <c r="GH1" s="3" t="s">
        <v>505</v>
      </c>
      <c r="GI1" s="3" t="s">
        <v>506</v>
      </c>
      <c r="GJ1" s="3" t="s">
        <v>507</v>
      </c>
      <c r="GK1" s="3" t="s">
        <v>508</v>
      </c>
      <c r="GL1" s="3" t="s">
        <v>509</v>
      </c>
      <c r="GM1" s="3" t="s">
        <v>510</v>
      </c>
      <c r="GN1" s="3" t="s">
        <v>511</v>
      </c>
      <c r="GO1" s="3" t="s">
        <v>512</v>
      </c>
      <c r="GP1" s="3" t="s">
        <v>513</v>
      </c>
      <c r="GQ1" s="3" t="s">
        <v>514</v>
      </c>
      <c r="GR1" s="3" t="s">
        <v>515</v>
      </c>
      <c r="GS1" s="3" t="s">
        <v>516</v>
      </c>
      <c r="GT1" s="3" t="s">
        <v>517</v>
      </c>
      <c r="GU1" s="3" t="s">
        <v>518</v>
      </c>
      <c r="GV1" s="3" t="s">
        <v>519</v>
      </c>
      <c r="GW1" s="3" t="s">
        <v>520</v>
      </c>
      <c r="GX1" s="3" t="s">
        <v>521</v>
      </c>
      <c r="GY1" s="3" t="s">
        <v>522</v>
      </c>
      <c r="GZ1" s="3" t="s">
        <v>523</v>
      </c>
      <c r="HA1" s="3" t="s">
        <v>524</v>
      </c>
      <c r="HB1" s="3" t="s">
        <v>525</v>
      </c>
      <c r="HC1" s="3" t="s">
        <v>526</v>
      </c>
      <c r="HD1" s="3" t="s">
        <v>527</v>
      </c>
      <c r="HE1" s="3" t="s">
        <v>528</v>
      </c>
      <c r="HF1" s="3" t="s">
        <v>529</v>
      </c>
      <c r="HG1" s="3" t="s">
        <v>530</v>
      </c>
      <c r="HH1" s="3" t="s">
        <v>531</v>
      </c>
      <c r="HI1" s="3" t="s">
        <v>532</v>
      </c>
      <c r="HJ1" s="3" t="s">
        <v>533</v>
      </c>
      <c r="HK1" s="3" t="s">
        <v>534</v>
      </c>
      <c r="HL1" s="3" t="s">
        <v>535</v>
      </c>
      <c r="HM1" s="3" t="s">
        <v>536</v>
      </c>
      <c r="HN1" s="3" t="s">
        <v>537</v>
      </c>
      <c r="HO1" s="3" t="s">
        <v>538</v>
      </c>
      <c r="HP1" s="3" t="s">
        <v>539</v>
      </c>
      <c r="HQ1" s="3" t="s">
        <v>540</v>
      </c>
      <c r="HR1" s="3" t="s">
        <v>541</v>
      </c>
      <c r="HS1" s="3" t="s">
        <v>542</v>
      </c>
      <c r="HT1" s="3" t="s">
        <v>543</v>
      </c>
      <c r="HU1" s="3" t="s">
        <v>544</v>
      </c>
      <c r="HV1" s="3" t="s">
        <v>545</v>
      </c>
      <c r="HW1" s="3" t="s">
        <v>546</v>
      </c>
      <c r="HX1" s="3" t="s">
        <v>547</v>
      </c>
      <c r="HY1" s="3" t="s">
        <v>548</v>
      </c>
      <c r="HZ1" s="3" t="s">
        <v>549</v>
      </c>
      <c r="IA1" s="3" t="s">
        <v>550</v>
      </c>
      <c r="IB1" s="3" t="s">
        <v>551</v>
      </c>
      <c r="IC1" s="3" t="s">
        <v>552</v>
      </c>
      <c r="ID1" s="3" t="s">
        <v>553</v>
      </c>
      <c r="IE1" s="3" t="s">
        <v>554</v>
      </c>
      <c r="IF1" s="3" t="s">
        <v>555</v>
      </c>
      <c r="IG1" s="3" t="s">
        <v>556</v>
      </c>
      <c r="IH1" s="3" t="s">
        <v>557</v>
      </c>
      <c r="II1" s="3" t="s">
        <v>558</v>
      </c>
      <c r="IJ1" s="3" t="s">
        <v>559</v>
      </c>
      <c r="IK1" s="3" t="s">
        <v>560</v>
      </c>
      <c r="IL1" s="3" t="s">
        <v>561</v>
      </c>
      <c r="IM1" s="3" t="s">
        <v>562</v>
      </c>
      <c r="IN1" s="3" t="s">
        <v>563</v>
      </c>
      <c r="IO1" s="3" t="s">
        <v>564</v>
      </c>
      <c r="IP1" s="3" t="s">
        <v>565</v>
      </c>
      <c r="IQ1" s="3" t="s">
        <v>566</v>
      </c>
      <c r="IR1" s="3" t="s">
        <v>567</v>
      </c>
      <c r="IS1" s="3" t="s">
        <v>568</v>
      </c>
      <c r="IT1" s="3" t="s">
        <v>569</v>
      </c>
      <c r="IU1" s="3" t="s">
        <v>570</v>
      </c>
      <c r="IV1" s="3" t="s">
        <v>571</v>
      </c>
      <c r="IW1" s="3" t="s">
        <v>572</v>
      </c>
      <c r="IX1" s="3" t="s">
        <v>573</v>
      </c>
      <c r="IY1" s="3" t="s">
        <v>574</v>
      </c>
      <c r="IZ1" s="3" t="s">
        <v>575</v>
      </c>
      <c r="JA1" s="3" t="s">
        <v>576</v>
      </c>
      <c r="JB1" s="3" t="s">
        <v>577</v>
      </c>
      <c r="JC1" s="3" t="s">
        <v>578</v>
      </c>
      <c r="JD1" s="3" t="s">
        <v>579</v>
      </c>
      <c r="JE1" s="3" t="s">
        <v>580</v>
      </c>
      <c r="JF1" s="3" t="s">
        <v>581</v>
      </c>
      <c r="JG1" s="3" t="s">
        <v>582</v>
      </c>
      <c r="JH1" s="3" t="s">
        <v>583</v>
      </c>
      <c r="JI1" s="3" t="s">
        <v>584</v>
      </c>
      <c r="JJ1" s="3" t="s">
        <v>585</v>
      </c>
      <c r="JK1" s="3" t="s">
        <v>586</v>
      </c>
      <c r="JL1" s="3" t="s">
        <v>587</v>
      </c>
      <c r="JM1" s="3" t="s">
        <v>588</v>
      </c>
    </row>
    <row r="2" spans="1:273" x14ac:dyDescent="0.3">
      <c r="A2" t="s">
        <v>589</v>
      </c>
      <c r="B2" t="s">
        <v>302</v>
      </c>
      <c r="C2" t="s">
        <v>340</v>
      </c>
      <c r="D2" t="s">
        <v>590</v>
      </c>
      <c r="E2" t="s">
        <v>591</v>
      </c>
      <c r="F2" t="s">
        <v>592</v>
      </c>
      <c r="G2">
        <v>5</v>
      </c>
      <c r="H2" t="s">
        <v>593</v>
      </c>
      <c r="I2" t="s">
        <v>594</v>
      </c>
      <c r="J2" t="s">
        <v>595</v>
      </c>
      <c r="L2" t="s">
        <v>591</v>
      </c>
      <c r="M2" t="s">
        <v>589</v>
      </c>
      <c r="N2">
        <v>1</v>
      </c>
      <c r="O2">
        <v>1</v>
      </c>
      <c r="P2">
        <v>1</v>
      </c>
      <c r="Q2">
        <v>7</v>
      </c>
      <c r="R2">
        <v>2</v>
      </c>
      <c r="S2">
        <v>0</v>
      </c>
      <c r="T2">
        <v>0</v>
      </c>
      <c r="U2">
        <v>0</v>
      </c>
      <c r="V2" t="s">
        <v>188</v>
      </c>
      <c r="W2">
        <v>1</v>
      </c>
      <c r="X2">
        <v>0</v>
      </c>
      <c r="Y2">
        <v>0</v>
      </c>
      <c r="Z2">
        <v>1</v>
      </c>
      <c r="AA2">
        <v>0</v>
      </c>
      <c r="AB2">
        <v>1</v>
      </c>
      <c r="AC2" t="s">
        <v>188</v>
      </c>
      <c r="AD2">
        <v>0</v>
      </c>
      <c r="AE2">
        <v>0</v>
      </c>
      <c r="AF2">
        <v>0</v>
      </c>
      <c r="AG2">
        <v>0</v>
      </c>
      <c r="AH2" t="s">
        <v>596</v>
      </c>
      <c r="AI2">
        <v>1</v>
      </c>
      <c r="AJ2" t="s">
        <v>199</v>
      </c>
      <c r="AK2">
        <v>1</v>
      </c>
      <c r="AL2">
        <v>2.6</v>
      </c>
      <c r="AM2">
        <v>14.2</v>
      </c>
      <c r="AN2">
        <v>0</v>
      </c>
      <c r="AO2">
        <v>0</v>
      </c>
      <c r="AP2">
        <v>0</v>
      </c>
      <c r="AQ2">
        <v>0</v>
      </c>
      <c r="AR2">
        <v>30.15</v>
      </c>
      <c r="AS2">
        <v>22.8</v>
      </c>
      <c r="AT2">
        <v>46.91</v>
      </c>
      <c r="AU2">
        <v>0</v>
      </c>
      <c r="AV2">
        <v>0</v>
      </c>
      <c r="AW2">
        <v>12.02</v>
      </c>
      <c r="AX2">
        <v>25.01</v>
      </c>
      <c r="AY2">
        <v>6.28</v>
      </c>
      <c r="AZ2">
        <v>0</v>
      </c>
      <c r="BA2">
        <v>30.15</v>
      </c>
      <c r="BB2">
        <v>0</v>
      </c>
      <c r="BC2">
        <v>18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800</v>
      </c>
      <c r="BN2">
        <v>1800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1800</v>
      </c>
      <c r="BV2">
        <v>228</v>
      </c>
      <c r="BW2" t="s">
        <v>188</v>
      </c>
      <c r="BX2">
        <v>0</v>
      </c>
      <c r="BY2" t="s">
        <v>589</v>
      </c>
      <c r="CA2">
        <v>1800</v>
      </c>
      <c r="CB2">
        <v>30.15</v>
      </c>
      <c r="CC2">
        <v>14.2</v>
      </c>
      <c r="CD2" t="s">
        <v>188</v>
      </c>
      <c r="CE2" t="s">
        <v>597</v>
      </c>
      <c r="CF2" t="s">
        <v>598</v>
      </c>
      <c r="CG2" t="s">
        <v>599</v>
      </c>
      <c r="CH2" t="str">
        <f>_xlfn.TEXTJOIN(";",TRUE,MID(C1,1,SEARCH(";",C1&amp;";")-1)&amp;","&amp;MID(C2,1,SEARCH(";",C2&amp;";")-1)&amp;","&amp;MID(C3,1,SEARCH(";",C3&amp;";")-1))</f>
        <v>PumpFilter2,SLURRY,SLURRY</v>
      </c>
      <c r="CK2">
        <v>1</v>
      </c>
      <c r="CL2" t="s">
        <v>600</v>
      </c>
      <c r="CM2" t="s">
        <v>601</v>
      </c>
      <c r="CN2" t="s">
        <v>602</v>
      </c>
      <c r="CP2" t="s">
        <v>188</v>
      </c>
      <c r="CQ2" t="s">
        <v>188</v>
      </c>
      <c r="CR2">
        <v>35</v>
      </c>
      <c r="CS2">
        <v>0</v>
      </c>
      <c r="CT2" t="s">
        <v>603</v>
      </c>
      <c r="CX2">
        <v>0</v>
      </c>
      <c r="CY2">
        <v>0</v>
      </c>
      <c r="CZ2">
        <v>0</v>
      </c>
      <c r="DA2">
        <v>0</v>
      </c>
      <c r="DB2" t="s">
        <v>604</v>
      </c>
      <c r="DC2">
        <v>0</v>
      </c>
      <c r="DD2">
        <v>0</v>
      </c>
      <c r="DI2" t="s">
        <v>605</v>
      </c>
      <c r="DJ2" t="s">
        <v>606</v>
      </c>
      <c r="DK2">
        <v>50</v>
      </c>
      <c r="DQ2" t="s">
        <v>607</v>
      </c>
      <c r="DR2">
        <v>30</v>
      </c>
      <c r="DS2">
        <v>0</v>
      </c>
      <c r="DT2">
        <v>0</v>
      </c>
      <c r="DU2">
        <v>0</v>
      </c>
      <c r="DV2">
        <v>0</v>
      </c>
      <c r="EW2" t="s">
        <v>188</v>
      </c>
      <c r="EX2" t="s">
        <v>188</v>
      </c>
      <c r="EY2" t="s">
        <v>188</v>
      </c>
      <c r="EZ2" t="s">
        <v>188</v>
      </c>
      <c r="FA2">
        <v>4</v>
      </c>
      <c r="FB2" t="s">
        <v>188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 t="s">
        <v>188</v>
      </c>
      <c r="GF2" t="s">
        <v>188</v>
      </c>
      <c r="GG2" t="s">
        <v>188</v>
      </c>
      <c r="GH2" s="1">
        <v>44648</v>
      </c>
      <c r="GI2" t="s">
        <v>608</v>
      </c>
      <c r="GJ2" t="s">
        <v>609</v>
      </c>
      <c r="GK2" t="s">
        <v>610</v>
      </c>
      <c r="GN2">
        <v>76</v>
      </c>
      <c r="GO2">
        <v>51</v>
      </c>
      <c r="GP2">
        <v>0</v>
      </c>
      <c r="GQ2" t="s">
        <v>611</v>
      </c>
      <c r="GR2" s="1">
        <v>44648</v>
      </c>
      <c r="GV2" t="s">
        <v>188</v>
      </c>
      <c r="GW2" t="s">
        <v>188</v>
      </c>
      <c r="GX2" t="s">
        <v>188</v>
      </c>
      <c r="GY2" t="s">
        <v>188</v>
      </c>
      <c r="GZ2" t="s">
        <v>188</v>
      </c>
      <c r="HA2" t="s">
        <v>188</v>
      </c>
      <c r="HB2" t="s">
        <v>188</v>
      </c>
      <c r="HC2" t="s">
        <v>188</v>
      </c>
      <c r="HD2" t="s">
        <v>188</v>
      </c>
      <c r="HE2" t="s">
        <v>188</v>
      </c>
      <c r="HH2">
        <v>0</v>
      </c>
      <c r="HI2">
        <v>0</v>
      </c>
      <c r="HJ2">
        <v>29.94</v>
      </c>
      <c r="HK2">
        <v>22.54</v>
      </c>
      <c r="HL2">
        <v>7.16</v>
      </c>
      <c r="HN2" t="s">
        <v>188</v>
      </c>
      <c r="IS2">
        <v>0</v>
      </c>
      <c r="IT2">
        <v>0</v>
      </c>
      <c r="IU2">
        <v>0</v>
      </c>
      <c r="IV2">
        <v>0</v>
      </c>
      <c r="IW2">
        <v>0</v>
      </c>
      <c r="IX2" t="s">
        <v>612</v>
      </c>
      <c r="IY2">
        <v>0</v>
      </c>
      <c r="IZ2">
        <v>0</v>
      </c>
      <c r="JA2">
        <v>0</v>
      </c>
      <c r="JB2">
        <v>0</v>
      </c>
      <c r="JC2" t="s">
        <v>613</v>
      </c>
      <c r="JD2" t="s">
        <v>614</v>
      </c>
      <c r="JF2">
        <v>0</v>
      </c>
      <c r="JH2" t="s">
        <v>188</v>
      </c>
      <c r="JI2">
        <v>0</v>
      </c>
      <c r="JJ2" t="s">
        <v>188</v>
      </c>
      <c r="JK2">
        <v>7.05</v>
      </c>
      <c r="JL2">
        <v>0</v>
      </c>
      <c r="JM2">
        <v>1</v>
      </c>
    </row>
    <row r="3" spans="1:273" x14ac:dyDescent="0.3">
      <c r="A3" t="s">
        <v>615</v>
      </c>
      <c r="B3" t="s">
        <v>302</v>
      </c>
      <c r="C3" t="s">
        <v>340</v>
      </c>
      <c r="D3" t="s">
        <v>590</v>
      </c>
      <c r="E3" t="s">
        <v>591</v>
      </c>
      <c r="F3" t="s">
        <v>592</v>
      </c>
      <c r="G3">
        <v>5</v>
      </c>
      <c r="H3" t="s">
        <v>616</v>
      </c>
      <c r="I3" t="s">
        <v>594</v>
      </c>
      <c r="J3" t="s">
        <v>595</v>
      </c>
      <c r="L3" t="s">
        <v>591</v>
      </c>
      <c r="M3" t="s">
        <v>615</v>
      </c>
      <c r="N3">
        <v>1</v>
      </c>
      <c r="O3">
        <v>1</v>
      </c>
      <c r="P3">
        <v>1</v>
      </c>
      <c r="Q3">
        <v>8</v>
      </c>
      <c r="R3">
        <v>2</v>
      </c>
      <c r="S3">
        <v>0</v>
      </c>
      <c r="T3">
        <v>0</v>
      </c>
      <c r="U3">
        <v>0</v>
      </c>
      <c r="V3" t="s">
        <v>188</v>
      </c>
      <c r="W3">
        <v>1</v>
      </c>
      <c r="X3">
        <v>0</v>
      </c>
      <c r="Y3">
        <v>0</v>
      </c>
      <c r="Z3">
        <v>1</v>
      </c>
      <c r="AA3">
        <v>0</v>
      </c>
      <c r="AB3">
        <v>1</v>
      </c>
      <c r="AC3" t="s">
        <v>188</v>
      </c>
      <c r="AD3">
        <v>0</v>
      </c>
      <c r="AE3">
        <v>0</v>
      </c>
      <c r="AF3">
        <v>0</v>
      </c>
      <c r="AG3">
        <v>0</v>
      </c>
      <c r="AH3" t="s">
        <v>596</v>
      </c>
      <c r="AI3">
        <v>1</v>
      </c>
      <c r="AJ3" t="s">
        <v>199</v>
      </c>
      <c r="AK3">
        <v>1</v>
      </c>
      <c r="AL3">
        <v>6.3</v>
      </c>
      <c r="AM3">
        <v>40</v>
      </c>
      <c r="AN3">
        <v>0</v>
      </c>
      <c r="AO3">
        <v>0</v>
      </c>
      <c r="AP3">
        <v>0</v>
      </c>
      <c r="AQ3">
        <v>0</v>
      </c>
      <c r="AR3">
        <v>29.5</v>
      </c>
      <c r="AS3">
        <v>22.5</v>
      </c>
      <c r="AT3">
        <v>56.68</v>
      </c>
      <c r="AU3">
        <v>0</v>
      </c>
      <c r="AV3">
        <v>0</v>
      </c>
      <c r="AW3">
        <v>34.25</v>
      </c>
      <c r="AX3">
        <v>24.06</v>
      </c>
      <c r="AY3">
        <v>14.25</v>
      </c>
      <c r="AZ3">
        <v>0</v>
      </c>
      <c r="BA3">
        <v>29.5</v>
      </c>
      <c r="BB3">
        <v>0</v>
      </c>
      <c r="BC3">
        <v>26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700</v>
      </c>
      <c r="BN3">
        <v>1500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1500</v>
      </c>
      <c r="BV3">
        <v>267</v>
      </c>
      <c r="BW3" t="s">
        <v>188</v>
      </c>
      <c r="BX3">
        <v>0</v>
      </c>
      <c r="BY3" t="s">
        <v>615</v>
      </c>
      <c r="CA3">
        <v>1500</v>
      </c>
      <c r="CB3">
        <v>29.5</v>
      </c>
      <c r="CC3">
        <v>40</v>
      </c>
      <c r="CD3" t="s">
        <v>188</v>
      </c>
      <c r="CE3" t="s">
        <v>617</v>
      </c>
      <c r="CF3" t="s">
        <v>618</v>
      </c>
      <c r="CG3" t="s">
        <v>619</v>
      </c>
      <c r="CK3">
        <v>5</v>
      </c>
      <c r="CL3" t="s">
        <v>620</v>
      </c>
      <c r="CM3" t="s">
        <v>621</v>
      </c>
      <c r="CN3" t="s">
        <v>602</v>
      </c>
      <c r="CP3" t="s">
        <v>188</v>
      </c>
      <c r="CQ3" t="s">
        <v>188</v>
      </c>
      <c r="CR3">
        <v>38</v>
      </c>
      <c r="CS3">
        <v>0</v>
      </c>
      <c r="CT3" t="s">
        <v>622</v>
      </c>
      <c r="CX3">
        <v>0</v>
      </c>
      <c r="CY3">
        <v>0</v>
      </c>
      <c r="CZ3">
        <v>0</v>
      </c>
      <c r="DA3">
        <v>0</v>
      </c>
      <c r="DB3" t="s">
        <v>623</v>
      </c>
      <c r="DC3">
        <v>0</v>
      </c>
      <c r="DD3">
        <v>0</v>
      </c>
      <c r="DI3" t="s">
        <v>624</v>
      </c>
      <c r="DJ3" t="s">
        <v>625</v>
      </c>
      <c r="DK3">
        <v>80</v>
      </c>
      <c r="DQ3" t="s">
        <v>607</v>
      </c>
      <c r="DR3">
        <v>30</v>
      </c>
      <c r="DS3">
        <v>0</v>
      </c>
      <c r="DT3">
        <v>0</v>
      </c>
      <c r="DU3">
        <v>0</v>
      </c>
      <c r="DV3">
        <v>0</v>
      </c>
      <c r="EW3" t="s">
        <v>188</v>
      </c>
      <c r="EX3" t="s">
        <v>188</v>
      </c>
      <c r="EY3" t="s">
        <v>188</v>
      </c>
      <c r="EZ3" t="s">
        <v>188</v>
      </c>
      <c r="FA3">
        <v>4</v>
      </c>
      <c r="FB3" t="s">
        <v>188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 t="s">
        <v>188</v>
      </c>
      <c r="GF3" t="s">
        <v>188</v>
      </c>
      <c r="GG3" t="s">
        <v>188</v>
      </c>
      <c r="GH3" s="1">
        <v>44648</v>
      </c>
      <c r="GI3" t="s">
        <v>608</v>
      </c>
      <c r="GJ3" t="s">
        <v>609</v>
      </c>
      <c r="GK3" t="s">
        <v>610</v>
      </c>
      <c r="GN3">
        <v>76.2</v>
      </c>
      <c r="GO3">
        <v>76</v>
      </c>
      <c r="GP3">
        <v>0</v>
      </c>
      <c r="GQ3" t="s">
        <v>611</v>
      </c>
      <c r="GR3" s="1">
        <v>44648</v>
      </c>
      <c r="GV3" t="s">
        <v>188</v>
      </c>
      <c r="GW3" t="s">
        <v>188</v>
      </c>
      <c r="GX3" t="s">
        <v>188</v>
      </c>
      <c r="GY3" t="s">
        <v>188</v>
      </c>
      <c r="GZ3" t="s">
        <v>188</v>
      </c>
      <c r="HA3" t="s">
        <v>188</v>
      </c>
      <c r="HB3" t="s">
        <v>188</v>
      </c>
      <c r="HC3" t="s">
        <v>188</v>
      </c>
      <c r="HD3" t="s">
        <v>188</v>
      </c>
      <c r="HE3" t="s">
        <v>188</v>
      </c>
      <c r="HH3">
        <v>0</v>
      </c>
      <c r="HI3">
        <v>0</v>
      </c>
      <c r="HJ3">
        <v>28.89</v>
      </c>
      <c r="HK3">
        <v>22.18</v>
      </c>
      <c r="HL3">
        <v>16.440000000000001</v>
      </c>
      <c r="HN3" t="s">
        <v>188</v>
      </c>
      <c r="IS3">
        <v>0</v>
      </c>
      <c r="IT3">
        <v>0</v>
      </c>
      <c r="IU3">
        <v>0</v>
      </c>
      <c r="IV3">
        <v>0</v>
      </c>
      <c r="IW3">
        <v>0</v>
      </c>
      <c r="IX3" t="s">
        <v>626</v>
      </c>
      <c r="IY3">
        <v>0</v>
      </c>
      <c r="IZ3">
        <v>0</v>
      </c>
      <c r="JA3">
        <v>0</v>
      </c>
      <c r="JB3">
        <v>0</v>
      </c>
      <c r="JC3" t="s">
        <v>613</v>
      </c>
      <c r="JD3" t="s">
        <v>627</v>
      </c>
      <c r="JF3">
        <v>0</v>
      </c>
      <c r="JH3" t="s">
        <v>188</v>
      </c>
      <c r="JI3">
        <v>0</v>
      </c>
      <c r="JJ3" t="s">
        <v>188</v>
      </c>
      <c r="JK3">
        <v>16.04</v>
      </c>
      <c r="JL3">
        <v>0</v>
      </c>
      <c r="JM3">
        <v>1</v>
      </c>
    </row>
    <row r="4" spans="1:273" x14ac:dyDescent="0.3">
      <c r="A4" t="s">
        <v>628</v>
      </c>
      <c r="B4" t="s">
        <v>302</v>
      </c>
      <c r="C4" t="s">
        <v>340</v>
      </c>
      <c r="D4" t="s">
        <v>590</v>
      </c>
      <c r="E4" t="s">
        <v>591</v>
      </c>
      <c r="F4" t="s">
        <v>592</v>
      </c>
      <c r="G4">
        <v>5</v>
      </c>
      <c r="H4" t="s">
        <v>629</v>
      </c>
      <c r="I4" t="s">
        <v>594</v>
      </c>
      <c r="J4" t="s">
        <v>595</v>
      </c>
      <c r="L4" t="s">
        <v>591</v>
      </c>
      <c r="M4" t="s">
        <v>628</v>
      </c>
      <c r="N4">
        <v>1</v>
      </c>
      <c r="O4">
        <v>1</v>
      </c>
      <c r="P4">
        <v>1</v>
      </c>
      <c r="Q4">
        <v>8</v>
      </c>
      <c r="R4">
        <v>2</v>
      </c>
      <c r="S4">
        <v>0</v>
      </c>
      <c r="T4">
        <v>0</v>
      </c>
      <c r="U4">
        <v>0</v>
      </c>
      <c r="V4" t="s">
        <v>188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 t="s">
        <v>188</v>
      </c>
      <c r="AD4">
        <v>0</v>
      </c>
      <c r="AE4">
        <v>0</v>
      </c>
      <c r="AF4">
        <v>0</v>
      </c>
      <c r="AG4">
        <v>0</v>
      </c>
      <c r="AH4" t="s">
        <v>596</v>
      </c>
      <c r="AI4">
        <v>1</v>
      </c>
      <c r="AJ4" t="s">
        <v>199</v>
      </c>
      <c r="AK4">
        <v>1</v>
      </c>
      <c r="AL4">
        <v>7</v>
      </c>
      <c r="AM4">
        <v>62</v>
      </c>
      <c r="AN4">
        <v>0</v>
      </c>
      <c r="AO4">
        <v>0</v>
      </c>
      <c r="AP4">
        <v>0</v>
      </c>
      <c r="AQ4">
        <v>0</v>
      </c>
      <c r="AR4">
        <v>29.5</v>
      </c>
      <c r="AS4">
        <v>21.3</v>
      </c>
      <c r="AT4">
        <v>58.15</v>
      </c>
      <c r="AU4">
        <v>0</v>
      </c>
      <c r="AV4">
        <v>0</v>
      </c>
      <c r="AW4">
        <v>49.83</v>
      </c>
      <c r="AX4">
        <v>24.13</v>
      </c>
      <c r="AY4">
        <v>20.27</v>
      </c>
      <c r="AZ4">
        <v>0</v>
      </c>
      <c r="BA4">
        <v>29.5</v>
      </c>
      <c r="BB4">
        <v>0</v>
      </c>
      <c r="BC4">
        <v>23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500</v>
      </c>
      <c r="BN4">
        <v>1100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1100</v>
      </c>
      <c r="BV4">
        <v>381</v>
      </c>
      <c r="BW4" t="s">
        <v>188</v>
      </c>
      <c r="BX4">
        <v>0</v>
      </c>
      <c r="BY4" t="s">
        <v>628</v>
      </c>
      <c r="CA4">
        <v>1100</v>
      </c>
      <c r="CB4">
        <v>29.5</v>
      </c>
      <c r="CC4">
        <v>62</v>
      </c>
      <c r="CD4" t="s">
        <v>188</v>
      </c>
      <c r="CE4" t="s">
        <v>630</v>
      </c>
      <c r="CF4" t="s">
        <v>631</v>
      </c>
      <c r="CG4" t="s">
        <v>632</v>
      </c>
      <c r="CK4">
        <v>5</v>
      </c>
      <c r="CL4" t="s">
        <v>633</v>
      </c>
      <c r="CM4" t="s">
        <v>634</v>
      </c>
      <c r="CN4" t="s">
        <v>602</v>
      </c>
      <c r="CP4" t="s">
        <v>188</v>
      </c>
      <c r="CQ4" t="s">
        <v>188</v>
      </c>
      <c r="CR4">
        <v>55</v>
      </c>
      <c r="CS4">
        <v>0</v>
      </c>
      <c r="CT4" t="s">
        <v>635</v>
      </c>
      <c r="CX4">
        <v>0</v>
      </c>
      <c r="CY4">
        <v>0</v>
      </c>
      <c r="CZ4">
        <v>0</v>
      </c>
      <c r="DA4">
        <v>0</v>
      </c>
      <c r="DB4" t="s">
        <v>636</v>
      </c>
      <c r="DC4">
        <v>0</v>
      </c>
      <c r="DD4">
        <v>0</v>
      </c>
      <c r="DI4" t="s">
        <v>637</v>
      </c>
      <c r="DJ4" t="s">
        <v>638</v>
      </c>
      <c r="DK4">
        <v>100</v>
      </c>
      <c r="DQ4" t="s">
        <v>639</v>
      </c>
      <c r="DR4">
        <v>75</v>
      </c>
      <c r="DS4">
        <v>0</v>
      </c>
      <c r="DT4">
        <v>0</v>
      </c>
      <c r="DU4">
        <v>0</v>
      </c>
      <c r="DV4">
        <v>0</v>
      </c>
      <c r="EW4" t="s">
        <v>188</v>
      </c>
      <c r="EX4" t="s">
        <v>188</v>
      </c>
      <c r="EY4" t="s">
        <v>188</v>
      </c>
      <c r="EZ4" t="s">
        <v>188</v>
      </c>
      <c r="FA4">
        <v>4</v>
      </c>
      <c r="FB4" t="s">
        <v>188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 t="s">
        <v>188</v>
      </c>
      <c r="GF4" t="s">
        <v>188</v>
      </c>
      <c r="GG4" t="s">
        <v>188</v>
      </c>
      <c r="GH4" s="1">
        <v>44648</v>
      </c>
      <c r="GI4" t="s">
        <v>608</v>
      </c>
      <c r="GJ4" t="s">
        <v>609</v>
      </c>
      <c r="GK4" t="s">
        <v>610</v>
      </c>
      <c r="GN4">
        <v>152</v>
      </c>
      <c r="GO4">
        <v>102</v>
      </c>
      <c r="GP4">
        <v>0</v>
      </c>
      <c r="GQ4" t="s">
        <v>611</v>
      </c>
      <c r="GR4" s="1">
        <v>44648</v>
      </c>
      <c r="GV4" t="s">
        <v>188</v>
      </c>
      <c r="GW4" t="s">
        <v>188</v>
      </c>
      <c r="GX4" t="s">
        <v>188</v>
      </c>
      <c r="GY4" t="s">
        <v>188</v>
      </c>
      <c r="GZ4" t="s">
        <v>188</v>
      </c>
      <c r="HA4" t="s">
        <v>188</v>
      </c>
      <c r="HB4" t="s">
        <v>188</v>
      </c>
      <c r="HC4" t="s">
        <v>188</v>
      </c>
      <c r="HD4" t="s">
        <v>188</v>
      </c>
      <c r="HE4" t="s">
        <v>188</v>
      </c>
      <c r="HH4">
        <v>0</v>
      </c>
      <c r="HI4">
        <v>0</v>
      </c>
      <c r="HJ4">
        <v>28.89</v>
      </c>
      <c r="HK4">
        <v>21.86</v>
      </c>
      <c r="HL4">
        <v>22.84</v>
      </c>
      <c r="HN4" t="s">
        <v>188</v>
      </c>
      <c r="IS4">
        <v>0</v>
      </c>
      <c r="IT4">
        <v>0</v>
      </c>
      <c r="IU4">
        <v>0</v>
      </c>
      <c r="IV4">
        <v>0</v>
      </c>
      <c r="IW4">
        <v>0</v>
      </c>
      <c r="IX4" t="s">
        <v>640</v>
      </c>
      <c r="IY4">
        <v>0</v>
      </c>
      <c r="IZ4">
        <v>0</v>
      </c>
      <c r="JA4">
        <v>0</v>
      </c>
      <c r="JB4">
        <v>0</v>
      </c>
      <c r="JC4" t="s">
        <v>613</v>
      </c>
      <c r="JD4" t="s">
        <v>641</v>
      </c>
      <c r="JF4">
        <v>0</v>
      </c>
      <c r="JH4" t="s">
        <v>188</v>
      </c>
      <c r="JI4">
        <v>0</v>
      </c>
      <c r="JJ4" t="s">
        <v>188</v>
      </c>
      <c r="JK4">
        <v>23.54</v>
      </c>
      <c r="JL4">
        <v>0</v>
      </c>
      <c r="JM4">
        <v>1</v>
      </c>
    </row>
    <row r="5" spans="1:273" x14ac:dyDescent="0.3">
      <c r="A5" t="s">
        <v>642</v>
      </c>
      <c r="B5" t="s">
        <v>302</v>
      </c>
      <c r="C5" t="s">
        <v>340</v>
      </c>
      <c r="D5" t="s">
        <v>590</v>
      </c>
      <c r="E5" t="s">
        <v>591</v>
      </c>
      <c r="F5" t="s">
        <v>592</v>
      </c>
      <c r="G5">
        <v>5</v>
      </c>
      <c r="H5" t="s">
        <v>643</v>
      </c>
      <c r="I5" t="s">
        <v>594</v>
      </c>
      <c r="J5" t="s">
        <v>595</v>
      </c>
      <c r="L5" t="s">
        <v>591</v>
      </c>
      <c r="M5" t="s">
        <v>642</v>
      </c>
      <c r="N5">
        <v>1</v>
      </c>
      <c r="O5">
        <v>1</v>
      </c>
      <c r="P5">
        <v>1</v>
      </c>
      <c r="Q5">
        <v>9</v>
      </c>
      <c r="R5">
        <v>2</v>
      </c>
      <c r="S5">
        <v>0</v>
      </c>
      <c r="T5">
        <v>0</v>
      </c>
      <c r="U5">
        <v>0</v>
      </c>
      <c r="V5" t="s">
        <v>188</v>
      </c>
      <c r="W5">
        <v>1</v>
      </c>
      <c r="X5">
        <v>0</v>
      </c>
      <c r="Y5">
        <v>0</v>
      </c>
      <c r="Z5">
        <v>1</v>
      </c>
      <c r="AA5">
        <v>0</v>
      </c>
      <c r="AB5">
        <v>1</v>
      </c>
      <c r="AC5" t="s">
        <v>188</v>
      </c>
      <c r="AD5">
        <v>0</v>
      </c>
      <c r="AE5">
        <v>0</v>
      </c>
      <c r="AF5">
        <v>0</v>
      </c>
      <c r="AG5">
        <v>0</v>
      </c>
      <c r="AH5" t="s">
        <v>596</v>
      </c>
      <c r="AI5">
        <v>1</v>
      </c>
      <c r="AJ5" t="s">
        <v>199</v>
      </c>
      <c r="AK5">
        <v>1</v>
      </c>
      <c r="AL5">
        <v>20</v>
      </c>
      <c r="AM5">
        <v>124</v>
      </c>
      <c r="AN5">
        <v>0</v>
      </c>
      <c r="AO5">
        <v>0</v>
      </c>
      <c r="AP5">
        <v>0</v>
      </c>
      <c r="AQ5">
        <v>0</v>
      </c>
      <c r="AR5">
        <v>25.18</v>
      </c>
      <c r="AS5">
        <v>18.25</v>
      </c>
      <c r="AT5">
        <v>55.76</v>
      </c>
      <c r="AU5">
        <v>0</v>
      </c>
      <c r="AV5">
        <v>0</v>
      </c>
      <c r="AW5">
        <v>109.13</v>
      </c>
      <c r="AX5">
        <v>20.059999999999999</v>
      </c>
      <c r="AY5">
        <v>38.49</v>
      </c>
      <c r="AZ5">
        <v>0</v>
      </c>
      <c r="BA5">
        <v>25.18</v>
      </c>
      <c r="BB5">
        <v>0</v>
      </c>
      <c r="BC5">
        <v>24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350</v>
      </c>
      <c r="BN5">
        <v>700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700</v>
      </c>
      <c r="BV5">
        <v>540</v>
      </c>
      <c r="BW5" t="s">
        <v>188</v>
      </c>
      <c r="BX5">
        <v>0</v>
      </c>
      <c r="BY5" t="s">
        <v>642</v>
      </c>
      <c r="CA5">
        <v>700</v>
      </c>
      <c r="CB5">
        <v>25.18</v>
      </c>
      <c r="CC5">
        <v>124</v>
      </c>
      <c r="CD5" t="s">
        <v>188</v>
      </c>
      <c r="CE5" t="s">
        <v>644</v>
      </c>
      <c r="CF5" t="s">
        <v>645</v>
      </c>
      <c r="CG5" t="s">
        <v>646</v>
      </c>
      <c r="CK5">
        <v>10</v>
      </c>
      <c r="CL5" t="s">
        <v>647</v>
      </c>
      <c r="CM5" t="s">
        <v>648</v>
      </c>
      <c r="CN5" t="s">
        <v>602</v>
      </c>
      <c r="CP5" t="s">
        <v>188</v>
      </c>
      <c r="CQ5" t="s">
        <v>188</v>
      </c>
      <c r="CR5">
        <v>55</v>
      </c>
      <c r="CS5">
        <v>0</v>
      </c>
      <c r="CT5" t="s">
        <v>649</v>
      </c>
      <c r="CX5">
        <v>0</v>
      </c>
      <c r="CY5">
        <v>0</v>
      </c>
      <c r="CZ5">
        <v>0</v>
      </c>
      <c r="DA5">
        <v>0</v>
      </c>
      <c r="DB5" t="s">
        <v>650</v>
      </c>
      <c r="DC5">
        <v>0</v>
      </c>
      <c r="DD5">
        <v>0</v>
      </c>
      <c r="DI5" t="s">
        <v>651</v>
      </c>
      <c r="DJ5" t="s">
        <v>652</v>
      </c>
      <c r="DK5">
        <v>150</v>
      </c>
      <c r="DQ5" t="s">
        <v>639</v>
      </c>
      <c r="DR5">
        <v>75</v>
      </c>
      <c r="DS5" t="s">
        <v>653</v>
      </c>
      <c r="DT5">
        <v>110</v>
      </c>
      <c r="DU5">
        <v>0</v>
      </c>
      <c r="DV5">
        <v>0</v>
      </c>
      <c r="EW5" t="s">
        <v>188</v>
      </c>
      <c r="EX5" t="s">
        <v>188</v>
      </c>
      <c r="EY5" t="s">
        <v>188</v>
      </c>
      <c r="EZ5" t="s">
        <v>188</v>
      </c>
      <c r="FA5">
        <v>4</v>
      </c>
      <c r="FB5" t="s">
        <v>188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 t="s">
        <v>188</v>
      </c>
      <c r="GF5" t="s">
        <v>188</v>
      </c>
      <c r="GG5" t="s">
        <v>188</v>
      </c>
      <c r="GH5" s="1">
        <v>44648</v>
      </c>
      <c r="GI5" t="s">
        <v>608</v>
      </c>
      <c r="GJ5" t="s">
        <v>609</v>
      </c>
      <c r="GK5" t="s">
        <v>610</v>
      </c>
      <c r="GN5">
        <v>203</v>
      </c>
      <c r="GO5">
        <v>152</v>
      </c>
      <c r="GP5">
        <v>0</v>
      </c>
      <c r="GQ5" t="s">
        <v>611</v>
      </c>
      <c r="GR5" s="1">
        <v>44648</v>
      </c>
      <c r="GV5" t="s">
        <v>188</v>
      </c>
      <c r="GW5" t="s">
        <v>188</v>
      </c>
      <c r="GX5" t="s">
        <v>188</v>
      </c>
      <c r="GY5" t="s">
        <v>188</v>
      </c>
      <c r="GZ5" t="s">
        <v>188</v>
      </c>
      <c r="HA5" t="s">
        <v>188</v>
      </c>
      <c r="HB5" t="s">
        <v>188</v>
      </c>
      <c r="HC5" t="s">
        <v>188</v>
      </c>
      <c r="HD5" t="s">
        <v>188</v>
      </c>
      <c r="HE5" t="s">
        <v>188</v>
      </c>
      <c r="HH5">
        <v>0</v>
      </c>
      <c r="HI5">
        <v>0</v>
      </c>
      <c r="HJ5">
        <v>25.27</v>
      </c>
      <c r="HK5">
        <v>17.260000000000002</v>
      </c>
      <c r="HL5">
        <v>41.03</v>
      </c>
      <c r="HN5" t="s">
        <v>188</v>
      </c>
      <c r="IS5">
        <v>0</v>
      </c>
      <c r="IT5">
        <v>0</v>
      </c>
      <c r="IU5">
        <v>0</v>
      </c>
      <c r="IV5">
        <v>0</v>
      </c>
      <c r="IW5">
        <v>0</v>
      </c>
      <c r="IX5" t="s">
        <v>654</v>
      </c>
      <c r="IY5">
        <v>0</v>
      </c>
      <c r="IZ5">
        <v>0</v>
      </c>
      <c r="JA5">
        <v>0</v>
      </c>
      <c r="JB5">
        <v>0</v>
      </c>
      <c r="JC5" t="s">
        <v>613</v>
      </c>
      <c r="JD5" t="s">
        <v>655</v>
      </c>
      <c r="JF5">
        <v>0</v>
      </c>
      <c r="JH5" t="s">
        <v>188</v>
      </c>
      <c r="JI5">
        <v>0</v>
      </c>
      <c r="JJ5" t="s">
        <v>188</v>
      </c>
      <c r="JK5">
        <v>40.340000000000003</v>
      </c>
      <c r="JL5">
        <v>0</v>
      </c>
      <c r="JM5">
        <v>1</v>
      </c>
    </row>
    <row r="6" spans="1:273" x14ac:dyDescent="0.3">
      <c r="A6" t="s">
        <v>656</v>
      </c>
      <c r="B6" t="s">
        <v>302</v>
      </c>
      <c r="C6" t="s">
        <v>340</v>
      </c>
      <c r="D6" t="s">
        <v>657</v>
      </c>
      <c r="E6" t="s">
        <v>658</v>
      </c>
      <c r="F6" t="s">
        <v>659</v>
      </c>
      <c r="G6">
        <v>5</v>
      </c>
      <c r="H6" t="s">
        <v>660</v>
      </c>
      <c r="J6" t="s">
        <v>661</v>
      </c>
      <c r="N6">
        <v>3</v>
      </c>
      <c r="O6">
        <v>3</v>
      </c>
      <c r="P6">
        <v>1</v>
      </c>
      <c r="Q6">
        <v>9</v>
      </c>
      <c r="R6">
        <v>2</v>
      </c>
      <c r="S6">
        <v>0</v>
      </c>
      <c r="T6">
        <v>0</v>
      </c>
      <c r="U6">
        <v>0</v>
      </c>
      <c r="V6" t="s">
        <v>188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 t="s">
        <v>596</v>
      </c>
      <c r="AI6">
        <v>1</v>
      </c>
      <c r="AJ6" t="s">
        <v>199</v>
      </c>
      <c r="AK6">
        <v>1</v>
      </c>
      <c r="AL6">
        <v>8.89</v>
      </c>
      <c r="AM6">
        <v>70.27</v>
      </c>
      <c r="AN6">
        <v>0</v>
      </c>
      <c r="AO6">
        <v>0</v>
      </c>
      <c r="AP6">
        <v>0</v>
      </c>
      <c r="AQ6">
        <v>900</v>
      </c>
      <c r="AR6">
        <v>14.9</v>
      </c>
      <c r="AS6">
        <v>10.6</v>
      </c>
      <c r="AT6">
        <v>82.08</v>
      </c>
      <c r="AU6">
        <v>0</v>
      </c>
      <c r="AV6">
        <v>0</v>
      </c>
      <c r="AW6">
        <v>1332.33</v>
      </c>
      <c r="AX6">
        <v>35.42</v>
      </c>
      <c r="AY6">
        <v>563.67999999999995</v>
      </c>
      <c r="AZ6">
        <v>7.96</v>
      </c>
      <c r="BA6">
        <v>45.4</v>
      </c>
      <c r="BB6">
        <v>0</v>
      </c>
      <c r="BC6">
        <v>29</v>
      </c>
      <c r="BD6">
        <v>88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200</v>
      </c>
      <c r="BN6">
        <v>350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360</v>
      </c>
      <c r="BV6">
        <v>1372</v>
      </c>
      <c r="BW6" t="s">
        <v>188</v>
      </c>
      <c r="BX6">
        <v>0</v>
      </c>
      <c r="BY6" t="s">
        <v>662</v>
      </c>
      <c r="CA6" t="s">
        <v>663</v>
      </c>
      <c r="CB6" t="s">
        <v>664</v>
      </c>
      <c r="CC6" t="s">
        <v>665</v>
      </c>
      <c r="CD6" t="s">
        <v>188</v>
      </c>
      <c r="CE6" t="s">
        <v>666</v>
      </c>
      <c r="CF6" t="s">
        <v>667</v>
      </c>
      <c r="CG6" t="s">
        <v>668</v>
      </c>
      <c r="CI6" t="s">
        <v>669</v>
      </c>
      <c r="CK6" t="s">
        <v>670</v>
      </c>
      <c r="CL6" t="s">
        <v>671</v>
      </c>
      <c r="CM6" t="s">
        <v>672</v>
      </c>
      <c r="CN6" t="s">
        <v>673</v>
      </c>
      <c r="CO6" t="s">
        <v>674</v>
      </c>
      <c r="CP6" t="s">
        <v>188</v>
      </c>
      <c r="CQ6" t="s">
        <v>188</v>
      </c>
      <c r="CR6">
        <v>130</v>
      </c>
      <c r="CS6">
        <v>0</v>
      </c>
      <c r="CX6">
        <v>0</v>
      </c>
      <c r="CY6">
        <v>0</v>
      </c>
      <c r="CZ6">
        <v>0</v>
      </c>
      <c r="DA6">
        <v>0</v>
      </c>
      <c r="DC6">
        <v>0</v>
      </c>
      <c r="DD6">
        <v>0</v>
      </c>
      <c r="DI6" t="s">
        <v>675</v>
      </c>
      <c r="DJ6" t="s">
        <v>676</v>
      </c>
      <c r="DK6" t="s">
        <v>677</v>
      </c>
      <c r="DQ6" t="s">
        <v>678</v>
      </c>
      <c r="DR6">
        <v>600</v>
      </c>
      <c r="DS6" t="s">
        <v>679</v>
      </c>
      <c r="DT6">
        <v>900</v>
      </c>
      <c r="DU6" t="s">
        <v>680</v>
      </c>
      <c r="DV6">
        <v>1450</v>
      </c>
      <c r="EW6" t="s">
        <v>188</v>
      </c>
      <c r="EX6" t="s">
        <v>188</v>
      </c>
      <c r="EY6" t="s">
        <v>188</v>
      </c>
      <c r="EZ6" t="s">
        <v>188</v>
      </c>
      <c r="FA6">
        <v>4</v>
      </c>
      <c r="FB6" t="s">
        <v>188</v>
      </c>
      <c r="FC6" t="s">
        <v>681</v>
      </c>
      <c r="FD6" t="s">
        <v>682</v>
      </c>
      <c r="FE6">
        <v>1.11111111111111E+27</v>
      </c>
      <c r="FF6">
        <v>0</v>
      </c>
      <c r="FG6">
        <v>1800</v>
      </c>
      <c r="FH6">
        <v>9</v>
      </c>
      <c r="FI6">
        <v>1</v>
      </c>
      <c r="FJ6">
        <v>2</v>
      </c>
      <c r="FK6">
        <v>0</v>
      </c>
      <c r="FL6">
        <v>50</v>
      </c>
      <c r="FM6">
        <v>5</v>
      </c>
      <c r="FN6">
        <v>1</v>
      </c>
      <c r="FO6">
        <v>5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 t="s">
        <v>188</v>
      </c>
      <c r="GF6" t="s">
        <v>188</v>
      </c>
      <c r="GG6" t="s">
        <v>188</v>
      </c>
      <c r="GH6" s="1">
        <v>45097</v>
      </c>
      <c r="GJ6" t="s">
        <v>610</v>
      </c>
      <c r="GK6" t="s">
        <v>610</v>
      </c>
      <c r="GL6">
        <v>0</v>
      </c>
      <c r="GM6">
        <v>0</v>
      </c>
      <c r="GN6">
        <v>508</v>
      </c>
      <c r="GO6">
        <v>457.2</v>
      </c>
      <c r="GP6">
        <v>0</v>
      </c>
      <c r="GR6" s="1">
        <v>45098</v>
      </c>
      <c r="GV6" t="s">
        <v>188</v>
      </c>
      <c r="GW6" t="s">
        <v>188</v>
      </c>
      <c r="GX6" t="s">
        <v>188</v>
      </c>
      <c r="GY6" t="s">
        <v>188</v>
      </c>
      <c r="GZ6" t="s">
        <v>188</v>
      </c>
      <c r="HA6" t="s">
        <v>188</v>
      </c>
      <c r="HB6" t="s">
        <v>188</v>
      </c>
      <c r="HC6" t="s">
        <v>188</v>
      </c>
      <c r="HD6" t="s">
        <v>188</v>
      </c>
      <c r="HE6" t="s">
        <v>188</v>
      </c>
      <c r="HH6">
        <v>0</v>
      </c>
      <c r="HI6">
        <v>0</v>
      </c>
      <c r="HJ6">
        <v>45.53</v>
      </c>
      <c r="HK6">
        <v>32.159999999999997</v>
      </c>
      <c r="HL6">
        <v>629.74</v>
      </c>
      <c r="HN6" t="s">
        <v>188</v>
      </c>
      <c r="IS6">
        <v>0</v>
      </c>
      <c r="IT6">
        <v>0</v>
      </c>
      <c r="IU6">
        <v>0</v>
      </c>
      <c r="IV6">
        <v>0</v>
      </c>
      <c r="IW6">
        <v>0</v>
      </c>
      <c r="IX6" t="s">
        <v>683</v>
      </c>
      <c r="IY6">
        <v>0</v>
      </c>
      <c r="IZ6">
        <v>0</v>
      </c>
      <c r="JA6">
        <v>0</v>
      </c>
      <c r="JB6">
        <v>0</v>
      </c>
      <c r="JC6" t="s">
        <v>613</v>
      </c>
      <c r="JD6" t="s">
        <v>684</v>
      </c>
      <c r="JE6" t="s">
        <v>685</v>
      </c>
      <c r="JF6">
        <v>2</v>
      </c>
      <c r="JG6" t="s">
        <v>686</v>
      </c>
      <c r="JH6" t="s">
        <v>188</v>
      </c>
      <c r="JI6">
        <v>0</v>
      </c>
      <c r="JJ6" t="s">
        <v>188</v>
      </c>
      <c r="JK6">
        <v>630.59</v>
      </c>
      <c r="JL6">
        <v>10.1</v>
      </c>
      <c r="JM6">
        <v>3</v>
      </c>
    </row>
    <row r="7" spans="1:273" x14ac:dyDescent="0.3">
      <c r="A7" t="s">
        <v>687</v>
      </c>
      <c r="B7" t="s">
        <v>302</v>
      </c>
      <c r="C7" t="s">
        <v>340</v>
      </c>
      <c r="D7" t="s">
        <v>590</v>
      </c>
      <c r="E7" t="s">
        <v>688</v>
      </c>
      <c r="F7" t="s">
        <v>592</v>
      </c>
      <c r="G7">
        <v>8</v>
      </c>
      <c r="H7" t="s">
        <v>689</v>
      </c>
      <c r="I7" t="s">
        <v>594</v>
      </c>
      <c r="J7" t="s">
        <v>595</v>
      </c>
      <c r="L7" t="s">
        <v>688</v>
      </c>
      <c r="M7" t="s">
        <v>687</v>
      </c>
      <c r="N7">
        <v>1</v>
      </c>
      <c r="O7">
        <v>1</v>
      </c>
      <c r="P7">
        <v>1</v>
      </c>
      <c r="Q7">
        <v>8</v>
      </c>
      <c r="R7">
        <v>2</v>
      </c>
      <c r="S7">
        <v>0</v>
      </c>
      <c r="T7">
        <v>0</v>
      </c>
      <c r="U7">
        <v>0</v>
      </c>
      <c r="V7" t="s">
        <v>188</v>
      </c>
      <c r="W7">
        <v>1</v>
      </c>
      <c r="X7">
        <v>0</v>
      </c>
      <c r="Y7">
        <v>0</v>
      </c>
      <c r="Z7">
        <v>1</v>
      </c>
      <c r="AA7">
        <v>0</v>
      </c>
      <c r="AB7">
        <v>1</v>
      </c>
      <c r="AC7" t="s">
        <v>188</v>
      </c>
      <c r="AD7">
        <v>0</v>
      </c>
      <c r="AE7">
        <v>0</v>
      </c>
      <c r="AF7">
        <v>0</v>
      </c>
      <c r="AG7">
        <v>0</v>
      </c>
      <c r="AH7" t="s">
        <v>596</v>
      </c>
      <c r="AI7">
        <v>1</v>
      </c>
      <c r="AJ7" t="s">
        <v>199</v>
      </c>
      <c r="AK7">
        <v>1</v>
      </c>
      <c r="AL7">
        <v>130</v>
      </c>
      <c r="AM7">
        <v>750</v>
      </c>
      <c r="AN7">
        <v>0</v>
      </c>
      <c r="AO7">
        <v>0</v>
      </c>
      <c r="AP7">
        <v>0</v>
      </c>
      <c r="AQ7">
        <v>0</v>
      </c>
      <c r="AR7">
        <v>73</v>
      </c>
      <c r="AS7">
        <v>54.2</v>
      </c>
      <c r="AT7">
        <v>77.94</v>
      </c>
      <c r="AU7">
        <v>0</v>
      </c>
      <c r="AV7">
        <v>0</v>
      </c>
      <c r="AW7">
        <v>619.29</v>
      </c>
      <c r="AX7">
        <v>61.98</v>
      </c>
      <c r="AY7">
        <v>482.86</v>
      </c>
      <c r="AZ7">
        <v>7.94</v>
      </c>
      <c r="BA7">
        <v>73</v>
      </c>
      <c r="BB7">
        <v>0</v>
      </c>
      <c r="BC7">
        <v>28</v>
      </c>
      <c r="BD7">
        <v>133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400</v>
      </c>
      <c r="BN7">
        <v>800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800</v>
      </c>
      <c r="BV7">
        <v>800</v>
      </c>
      <c r="BW7" t="s">
        <v>188</v>
      </c>
      <c r="BX7">
        <v>0</v>
      </c>
      <c r="BY7" t="s">
        <v>687</v>
      </c>
      <c r="CA7">
        <v>800</v>
      </c>
      <c r="CB7">
        <v>73</v>
      </c>
      <c r="CC7">
        <v>750</v>
      </c>
      <c r="CD7" t="s">
        <v>188</v>
      </c>
      <c r="CE7" t="s">
        <v>690</v>
      </c>
      <c r="CF7" t="s">
        <v>691</v>
      </c>
      <c r="CG7" t="s">
        <v>692</v>
      </c>
      <c r="CI7" t="s">
        <v>693</v>
      </c>
      <c r="CK7">
        <v>25</v>
      </c>
      <c r="CL7" t="s">
        <v>694</v>
      </c>
      <c r="CM7" t="s">
        <v>695</v>
      </c>
      <c r="CN7" t="s">
        <v>696</v>
      </c>
      <c r="CP7" t="s">
        <v>188</v>
      </c>
      <c r="CQ7" t="s">
        <v>188</v>
      </c>
      <c r="CR7">
        <v>0</v>
      </c>
      <c r="CS7">
        <v>0</v>
      </c>
      <c r="CT7" t="s">
        <v>697</v>
      </c>
      <c r="CX7">
        <v>0</v>
      </c>
      <c r="CY7">
        <v>2100</v>
      </c>
      <c r="CZ7">
        <v>0</v>
      </c>
      <c r="DA7">
        <v>0</v>
      </c>
      <c r="DB7" t="s">
        <v>698</v>
      </c>
      <c r="DC7">
        <v>0</v>
      </c>
      <c r="DD7">
        <v>0</v>
      </c>
      <c r="DI7" t="s">
        <v>699</v>
      </c>
      <c r="DJ7" t="s">
        <v>700</v>
      </c>
      <c r="DK7">
        <v>250</v>
      </c>
      <c r="DQ7" t="s">
        <v>701</v>
      </c>
      <c r="DR7">
        <v>260</v>
      </c>
      <c r="DS7" t="s">
        <v>702</v>
      </c>
      <c r="DT7">
        <v>425</v>
      </c>
      <c r="DU7" t="s">
        <v>703</v>
      </c>
      <c r="DV7">
        <v>600</v>
      </c>
      <c r="EW7" t="s">
        <v>188</v>
      </c>
      <c r="EX7" t="s">
        <v>188</v>
      </c>
      <c r="EY7" t="s">
        <v>188</v>
      </c>
      <c r="EZ7" t="s">
        <v>188</v>
      </c>
      <c r="FA7">
        <v>4</v>
      </c>
      <c r="FB7" t="s">
        <v>188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 t="s">
        <v>188</v>
      </c>
      <c r="GF7" t="s">
        <v>188</v>
      </c>
      <c r="GG7" t="s">
        <v>188</v>
      </c>
      <c r="GH7" s="1">
        <v>44648</v>
      </c>
      <c r="GI7" t="s">
        <v>608</v>
      </c>
      <c r="GJ7" t="s">
        <v>609</v>
      </c>
      <c r="GK7" t="s">
        <v>610</v>
      </c>
      <c r="GN7">
        <v>254</v>
      </c>
      <c r="GO7">
        <v>508</v>
      </c>
      <c r="GP7">
        <v>0</v>
      </c>
      <c r="GQ7" t="s">
        <v>611</v>
      </c>
      <c r="GR7" s="1">
        <v>44648</v>
      </c>
      <c r="GV7" t="s">
        <v>188</v>
      </c>
      <c r="GW7" t="s">
        <v>188</v>
      </c>
      <c r="GX7" t="s">
        <v>188</v>
      </c>
      <c r="GY7" t="s">
        <v>188</v>
      </c>
      <c r="GZ7" t="s">
        <v>188</v>
      </c>
      <c r="HA7" t="s">
        <v>188</v>
      </c>
      <c r="HB7" t="s">
        <v>188</v>
      </c>
      <c r="HC7" t="s">
        <v>188</v>
      </c>
      <c r="HD7" t="s">
        <v>188</v>
      </c>
      <c r="HE7" t="s">
        <v>188</v>
      </c>
      <c r="HH7">
        <v>0</v>
      </c>
      <c r="HI7">
        <v>0</v>
      </c>
      <c r="HJ7">
        <v>73.16</v>
      </c>
      <c r="HK7">
        <v>54.66</v>
      </c>
      <c r="HL7">
        <v>528.67999999999995</v>
      </c>
      <c r="HN7" t="s">
        <v>188</v>
      </c>
      <c r="IS7">
        <v>0</v>
      </c>
      <c r="IT7">
        <v>0</v>
      </c>
      <c r="IU7">
        <v>0</v>
      </c>
      <c r="IV7">
        <v>0</v>
      </c>
      <c r="IW7">
        <v>0</v>
      </c>
      <c r="IX7" t="s">
        <v>704</v>
      </c>
      <c r="IY7">
        <v>0</v>
      </c>
      <c r="IZ7">
        <v>0</v>
      </c>
      <c r="JA7">
        <v>0</v>
      </c>
      <c r="JB7">
        <v>0</v>
      </c>
      <c r="JC7" t="s">
        <v>613</v>
      </c>
      <c r="JD7" t="s">
        <v>705</v>
      </c>
      <c r="JF7">
        <v>0</v>
      </c>
      <c r="JH7" t="s">
        <v>188</v>
      </c>
      <c r="JI7">
        <v>0</v>
      </c>
      <c r="JJ7" t="s">
        <v>188</v>
      </c>
      <c r="JK7">
        <v>531.37</v>
      </c>
      <c r="JL7">
        <v>0</v>
      </c>
      <c r="JM7">
        <v>1</v>
      </c>
    </row>
    <row r="8" spans="1:273" x14ac:dyDescent="0.3">
      <c r="A8" t="s">
        <v>706</v>
      </c>
      <c r="B8" t="s">
        <v>302</v>
      </c>
      <c r="C8" t="s">
        <v>340</v>
      </c>
      <c r="D8" t="s">
        <v>590</v>
      </c>
      <c r="E8" t="s">
        <v>688</v>
      </c>
      <c r="F8" t="s">
        <v>592</v>
      </c>
      <c r="G8">
        <v>4</v>
      </c>
      <c r="H8" t="s">
        <v>707</v>
      </c>
      <c r="I8" t="s">
        <v>594</v>
      </c>
      <c r="J8" t="s">
        <v>595</v>
      </c>
      <c r="L8" t="s">
        <v>688</v>
      </c>
      <c r="M8" t="s">
        <v>706</v>
      </c>
      <c r="N8">
        <v>1</v>
      </c>
      <c r="O8">
        <v>1</v>
      </c>
      <c r="P8">
        <v>1</v>
      </c>
      <c r="Q8">
        <v>10</v>
      </c>
      <c r="R8">
        <v>2</v>
      </c>
      <c r="S8">
        <v>0</v>
      </c>
      <c r="T8">
        <v>0</v>
      </c>
      <c r="U8">
        <v>0</v>
      </c>
      <c r="V8" t="s">
        <v>188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 t="s">
        <v>188</v>
      </c>
      <c r="AD8">
        <v>0</v>
      </c>
      <c r="AE8">
        <v>0</v>
      </c>
      <c r="AF8">
        <v>0</v>
      </c>
      <c r="AG8">
        <v>0</v>
      </c>
      <c r="AH8" t="s">
        <v>596</v>
      </c>
      <c r="AI8">
        <v>1</v>
      </c>
      <c r="AJ8" t="s">
        <v>199</v>
      </c>
      <c r="AK8">
        <v>1</v>
      </c>
      <c r="AL8">
        <v>6.1</v>
      </c>
      <c r="AM8">
        <v>39.799999999999997</v>
      </c>
      <c r="AN8">
        <v>0</v>
      </c>
      <c r="AO8">
        <v>0</v>
      </c>
      <c r="AP8">
        <v>0</v>
      </c>
      <c r="AQ8">
        <v>0</v>
      </c>
      <c r="AR8">
        <v>57</v>
      </c>
      <c r="AS8">
        <v>48.5</v>
      </c>
      <c r="AT8">
        <v>57.1</v>
      </c>
      <c r="AU8">
        <v>0</v>
      </c>
      <c r="AV8">
        <v>0</v>
      </c>
      <c r="AW8">
        <v>33.659999999999997</v>
      </c>
      <c r="AX8">
        <v>50.62</v>
      </c>
      <c r="AY8">
        <v>29.25</v>
      </c>
      <c r="AZ8">
        <v>15.45</v>
      </c>
      <c r="BA8">
        <v>57</v>
      </c>
      <c r="BB8">
        <v>0</v>
      </c>
      <c r="BC8">
        <v>25</v>
      </c>
      <c r="BD8">
        <v>61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1000</v>
      </c>
      <c r="BN8">
        <v>2600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2600</v>
      </c>
      <c r="BV8">
        <v>224</v>
      </c>
      <c r="BW8" t="s">
        <v>188</v>
      </c>
      <c r="BX8">
        <v>0</v>
      </c>
      <c r="BY8" t="s">
        <v>706</v>
      </c>
      <c r="CA8">
        <v>2600</v>
      </c>
      <c r="CB8">
        <v>57</v>
      </c>
      <c r="CC8">
        <v>39.799999999999997</v>
      </c>
      <c r="CD8" t="s">
        <v>188</v>
      </c>
      <c r="CE8" t="s">
        <v>708</v>
      </c>
      <c r="CF8" t="s">
        <v>709</v>
      </c>
      <c r="CG8" t="s">
        <v>710</v>
      </c>
      <c r="CI8" t="s">
        <v>711</v>
      </c>
      <c r="CK8">
        <v>5</v>
      </c>
      <c r="CL8" t="s">
        <v>712</v>
      </c>
      <c r="CM8" t="s">
        <v>713</v>
      </c>
      <c r="CN8" t="s">
        <v>714</v>
      </c>
      <c r="CP8" t="s">
        <v>188</v>
      </c>
      <c r="CQ8" t="s">
        <v>188</v>
      </c>
      <c r="CR8">
        <v>0</v>
      </c>
      <c r="CS8">
        <v>0</v>
      </c>
      <c r="CT8" t="s">
        <v>715</v>
      </c>
      <c r="CX8">
        <v>0</v>
      </c>
      <c r="CY8">
        <v>2100</v>
      </c>
      <c r="CZ8">
        <v>0</v>
      </c>
      <c r="DA8">
        <v>0</v>
      </c>
      <c r="DB8" t="s">
        <v>716</v>
      </c>
      <c r="DC8">
        <v>0</v>
      </c>
      <c r="DD8">
        <v>0</v>
      </c>
      <c r="DI8" t="s">
        <v>717</v>
      </c>
      <c r="DJ8" t="s">
        <v>718</v>
      </c>
      <c r="DK8">
        <v>50</v>
      </c>
      <c r="DQ8" t="s">
        <v>719</v>
      </c>
      <c r="DR8">
        <v>30</v>
      </c>
      <c r="DS8" t="s">
        <v>720</v>
      </c>
      <c r="DT8">
        <v>55</v>
      </c>
      <c r="DU8">
        <v>0</v>
      </c>
      <c r="DV8">
        <v>0</v>
      </c>
      <c r="EW8" t="s">
        <v>188</v>
      </c>
      <c r="EX8" t="s">
        <v>188</v>
      </c>
      <c r="EY8" t="s">
        <v>188</v>
      </c>
      <c r="EZ8" t="s">
        <v>188</v>
      </c>
      <c r="FA8">
        <v>4</v>
      </c>
      <c r="FB8" t="s">
        <v>188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 t="s">
        <v>188</v>
      </c>
      <c r="GF8" t="s">
        <v>188</v>
      </c>
      <c r="GG8" t="s">
        <v>188</v>
      </c>
      <c r="GH8" s="1">
        <v>44648</v>
      </c>
      <c r="GI8" t="s">
        <v>608</v>
      </c>
      <c r="GJ8" t="s">
        <v>609</v>
      </c>
      <c r="GK8" t="s">
        <v>610</v>
      </c>
      <c r="GN8">
        <v>132</v>
      </c>
      <c r="GO8">
        <v>51</v>
      </c>
      <c r="GP8">
        <v>0</v>
      </c>
      <c r="GQ8" t="s">
        <v>611</v>
      </c>
      <c r="GR8" s="1">
        <v>44648</v>
      </c>
      <c r="GV8" t="s">
        <v>188</v>
      </c>
      <c r="GW8" t="s">
        <v>188</v>
      </c>
      <c r="GX8" t="s">
        <v>188</v>
      </c>
      <c r="GY8" t="s">
        <v>188</v>
      </c>
      <c r="GZ8" t="s">
        <v>188</v>
      </c>
      <c r="HA8" t="s">
        <v>188</v>
      </c>
      <c r="HB8" t="s">
        <v>188</v>
      </c>
      <c r="HC8" t="s">
        <v>188</v>
      </c>
      <c r="HD8" t="s">
        <v>188</v>
      </c>
      <c r="HE8" t="s">
        <v>188</v>
      </c>
      <c r="HH8">
        <v>0</v>
      </c>
      <c r="HI8">
        <v>0</v>
      </c>
      <c r="HJ8">
        <v>56.98</v>
      </c>
      <c r="HK8">
        <v>48.28</v>
      </c>
      <c r="HL8">
        <v>35.090000000000003</v>
      </c>
      <c r="HN8" t="s">
        <v>188</v>
      </c>
      <c r="IS8">
        <v>0</v>
      </c>
      <c r="IT8">
        <v>0</v>
      </c>
      <c r="IU8">
        <v>0</v>
      </c>
      <c r="IV8">
        <v>0</v>
      </c>
      <c r="IW8">
        <v>0</v>
      </c>
      <c r="IX8" t="s">
        <v>721</v>
      </c>
      <c r="IY8">
        <v>0</v>
      </c>
      <c r="IZ8">
        <v>0</v>
      </c>
      <c r="JA8">
        <v>0</v>
      </c>
      <c r="JB8">
        <v>0</v>
      </c>
      <c r="JC8" t="s">
        <v>613</v>
      </c>
      <c r="JD8" t="s">
        <v>722</v>
      </c>
      <c r="JF8">
        <v>0</v>
      </c>
      <c r="JH8" t="s">
        <v>188</v>
      </c>
      <c r="JI8">
        <v>0</v>
      </c>
      <c r="JJ8" t="s">
        <v>188</v>
      </c>
      <c r="JK8">
        <v>34.409999999999997</v>
      </c>
      <c r="JL8">
        <v>0</v>
      </c>
      <c r="JM8">
        <v>1</v>
      </c>
    </row>
    <row r="9" spans="1:273" x14ac:dyDescent="0.3">
      <c r="A9" t="s">
        <v>723</v>
      </c>
      <c r="B9" t="s">
        <v>302</v>
      </c>
      <c r="C9" t="s">
        <v>340</v>
      </c>
      <c r="D9" t="s">
        <v>590</v>
      </c>
      <c r="E9" t="s">
        <v>688</v>
      </c>
      <c r="F9" t="s">
        <v>592</v>
      </c>
      <c r="G9">
        <v>4</v>
      </c>
      <c r="H9" t="s">
        <v>724</v>
      </c>
      <c r="I9" t="s">
        <v>594</v>
      </c>
      <c r="J9" t="s">
        <v>595</v>
      </c>
      <c r="L9" t="s">
        <v>688</v>
      </c>
      <c r="M9" t="s">
        <v>723</v>
      </c>
      <c r="N9">
        <v>1</v>
      </c>
      <c r="O9">
        <v>1</v>
      </c>
      <c r="P9">
        <v>1</v>
      </c>
      <c r="Q9">
        <v>11</v>
      </c>
      <c r="R9">
        <v>2</v>
      </c>
      <c r="S9">
        <v>0</v>
      </c>
      <c r="T9">
        <v>0</v>
      </c>
      <c r="U9">
        <v>0</v>
      </c>
      <c r="V9" t="s">
        <v>188</v>
      </c>
      <c r="W9">
        <v>1</v>
      </c>
      <c r="X9">
        <v>0</v>
      </c>
      <c r="Y9">
        <v>0</v>
      </c>
      <c r="Z9">
        <v>1</v>
      </c>
      <c r="AA9">
        <v>0</v>
      </c>
      <c r="AB9">
        <v>1</v>
      </c>
      <c r="AC9" t="s">
        <v>188</v>
      </c>
      <c r="AD9">
        <v>0</v>
      </c>
      <c r="AE9">
        <v>0</v>
      </c>
      <c r="AF9">
        <v>0</v>
      </c>
      <c r="AG9">
        <v>0</v>
      </c>
      <c r="AH9" t="s">
        <v>596</v>
      </c>
      <c r="AI9">
        <v>1</v>
      </c>
      <c r="AJ9" t="s">
        <v>199</v>
      </c>
      <c r="AK9">
        <v>1</v>
      </c>
      <c r="AL9">
        <v>10</v>
      </c>
      <c r="AM9">
        <v>85</v>
      </c>
      <c r="AN9">
        <v>0</v>
      </c>
      <c r="AO9">
        <v>0</v>
      </c>
      <c r="AP9">
        <v>0</v>
      </c>
      <c r="AQ9">
        <v>0</v>
      </c>
      <c r="AR9">
        <v>52.8</v>
      </c>
      <c r="AS9">
        <v>44.4</v>
      </c>
      <c r="AT9">
        <v>61.76</v>
      </c>
      <c r="AU9">
        <v>0</v>
      </c>
      <c r="AV9">
        <v>0</v>
      </c>
      <c r="AW9">
        <v>62.86</v>
      </c>
      <c r="AX9">
        <v>48.94</v>
      </c>
      <c r="AY9">
        <v>48.83</v>
      </c>
      <c r="AZ9">
        <v>7.9</v>
      </c>
      <c r="BA9">
        <v>52.8</v>
      </c>
      <c r="BB9">
        <v>0</v>
      </c>
      <c r="BC9">
        <v>30</v>
      </c>
      <c r="BD9">
        <v>117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800</v>
      </c>
      <c r="BN9">
        <v>2200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2200</v>
      </c>
      <c r="BV9">
        <v>257</v>
      </c>
      <c r="BW9" t="s">
        <v>188</v>
      </c>
      <c r="BX9">
        <v>0</v>
      </c>
      <c r="BY9" t="s">
        <v>723</v>
      </c>
      <c r="CA9">
        <v>2200</v>
      </c>
      <c r="CB9">
        <v>52.8</v>
      </c>
      <c r="CC9">
        <v>85</v>
      </c>
      <c r="CD9" t="s">
        <v>188</v>
      </c>
      <c r="CE9" t="s">
        <v>725</v>
      </c>
      <c r="CF9" t="s">
        <v>726</v>
      </c>
      <c r="CG9" t="s">
        <v>727</v>
      </c>
      <c r="CI9" t="s">
        <v>728</v>
      </c>
      <c r="CK9">
        <v>5</v>
      </c>
      <c r="CL9" t="s">
        <v>729</v>
      </c>
      <c r="CM9" t="s">
        <v>730</v>
      </c>
      <c r="CN9" t="s">
        <v>731</v>
      </c>
      <c r="CP9" t="s">
        <v>188</v>
      </c>
      <c r="CQ9" t="s">
        <v>188</v>
      </c>
      <c r="CR9">
        <v>0</v>
      </c>
      <c r="CS9">
        <v>0</v>
      </c>
      <c r="CT9" t="s">
        <v>732</v>
      </c>
      <c r="CX9">
        <v>0</v>
      </c>
      <c r="CY9">
        <v>2100</v>
      </c>
      <c r="CZ9">
        <v>0</v>
      </c>
      <c r="DA9">
        <v>0</v>
      </c>
      <c r="DB9" t="s">
        <v>733</v>
      </c>
      <c r="DC9">
        <v>0</v>
      </c>
      <c r="DD9">
        <v>0</v>
      </c>
      <c r="DI9" t="s">
        <v>734</v>
      </c>
      <c r="DJ9" t="s">
        <v>735</v>
      </c>
      <c r="DK9">
        <v>80</v>
      </c>
      <c r="DQ9" t="s">
        <v>736</v>
      </c>
      <c r="DR9">
        <v>30</v>
      </c>
      <c r="DS9" t="s">
        <v>737</v>
      </c>
      <c r="DT9">
        <v>55</v>
      </c>
      <c r="DU9" t="s">
        <v>738</v>
      </c>
      <c r="DV9">
        <v>60</v>
      </c>
      <c r="EW9" t="s">
        <v>188</v>
      </c>
      <c r="EX9" t="s">
        <v>188</v>
      </c>
      <c r="EY9" t="s">
        <v>188</v>
      </c>
      <c r="EZ9" t="s">
        <v>188</v>
      </c>
      <c r="FA9">
        <v>4</v>
      </c>
      <c r="FB9" t="s">
        <v>188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 t="s">
        <v>188</v>
      </c>
      <c r="GF9" t="s">
        <v>188</v>
      </c>
      <c r="GG9" t="s">
        <v>188</v>
      </c>
      <c r="GH9" s="1">
        <v>44648</v>
      </c>
      <c r="GI9" t="s">
        <v>608</v>
      </c>
      <c r="GJ9" t="s">
        <v>609</v>
      </c>
      <c r="GK9" t="s">
        <v>610</v>
      </c>
      <c r="GN9">
        <v>76.2</v>
      </c>
      <c r="GO9">
        <v>76</v>
      </c>
      <c r="GP9">
        <v>0</v>
      </c>
      <c r="GQ9" t="s">
        <v>611</v>
      </c>
      <c r="GR9" s="1">
        <v>44648</v>
      </c>
      <c r="GV9" t="s">
        <v>188</v>
      </c>
      <c r="GW9" t="s">
        <v>188</v>
      </c>
      <c r="GX9" t="s">
        <v>188</v>
      </c>
      <c r="GY9" t="s">
        <v>188</v>
      </c>
      <c r="GZ9" t="s">
        <v>188</v>
      </c>
      <c r="HA9" t="s">
        <v>188</v>
      </c>
      <c r="HB9" t="s">
        <v>188</v>
      </c>
      <c r="HC9" t="s">
        <v>188</v>
      </c>
      <c r="HD9" t="s">
        <v>188</v>
      </c>
      <c r="HE9" t="s">
        <v>188</v>
      </c>
      <c r="HH9">
        <v>0</v>
      </c>
      <c r="HI9">
        <v>0</v>
      </c>
      <c r="HJ9">
        <v>53.29</v>
      </c>
      <c r="HK9">
        <v>46.3</v>
      </c>
      <c r="HL9">
        <v>57.41</v>
      </c>
      <c r="HN9" t="s">
        <v>188</v>
      </c>
      <c r="IS9">
        <v>0</v>
      </c>
      <c r="IT9">
        <v>0</v>
      </c>
      <c r="IU9">
        <v>0</v>
      </c>
      <c r="IV9">
        <v>0</v>
      </c>
      <c r="IW9">
        <v>0</v>
      </c>
      <c r="IX9" t="s">
        <v>739</v>
      </c>
      <c r="IY9">
        <v>0</v>
      </c>
      <c r="IZ9">
        <v>0</v>
      </c>
      <c r="JA9">
        <v>0</v>
      </c>
      <c r="JB9">
        <v>0</v>
      </c>
      <c r="JC9" t="s">
        <v>613</v>
      </c>
      <c r="JD9" t="s">
        <v>740</v>
      </c>
      <c r="JF9">
        <v>0</v>
      </c>
      <c r="JH9" t="s">
        <v>188</v>
      </c>
      <c r="JI9">
        <v>0</v>
      </c>
      <c r="JJ9" t="s">
        <v>188</v>
      </c>
      <c r="JK9">
        <v>67.27</v>
      </c>
      <c r="JL9">
        <v>0</v>
      </c>
      <c r="JM9">
        <v>1</v>
      </c>
    </row>
    <row r="10" spans="1:273" x14ac:dyDescent="0.3">
      <c r="A10" t="s">
        <v>741</v>
      </c>
      <c r="B10" t="s">
        <v>302</v>
      </c>
      <c r="C10" t="s">
        <v>340</v>
      </c>
      <c r="D10" t="s">
        <v>590</v>
      </c>
      <c r="E10" t="s">
        <v>688</v>
      </c>
      <c r="F10" t="s">
        <v>592</v>
      </c>
      <c r="G10">
        <v>4</v>
      </c>
      <c r="H10" t="s">
        <v>742</v>
      </c>
      <c r="I10" t="s">
        <v>594</v>
      </c>
      <c r="J10" t="s">
        <v>595</v>
      </c>
      <c r="L10" t="s">
        <v>688</v>
      </c>
      <c r="M10" t="s">
        <v>741</v>
      </c>
      <c r="N10">
        <v>1</v>
      </c>
      <c r="O10">
        <v>1</v>
      </c>
      <c r="P10">
        <v>1</v>
      </c>
      <c r="Q10">
        <v>9</v>
      </c>
      <c r="R10">
        <v>2</v>
      </c>
      <c r="S10">
        <v>0</v>
      </c>
      <c r="T10">
        <v>0</v>
      </c>
      <c r="U10">
        <v>0</v>
      </c>
      <c r="V10" t="s">
        <v>188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 t="s">
        <v>188</v>
      </c>
      <c r="AD10">
        <v>0</v>
      </c>
      <c r="AE10">
        <v>0</v>
      </c>
      <c r="AF10">
        <v>0</v>
      </c>
      <c r="AG10">
        <v>0</v>
      </c>
      <c r="AH10" t="s">
        <v>596</v>
      </c>
      <c r="AI10">
        <v>1</v>
      </c>
      <c r="AJ10" t="s">
        <v>199</v>
      </c>
      <c r="AK10">
        <v>1</v>
      </c>
      <c r="AL10">
        <v>15.5</v>
      </c>
      <c r="AM10">
        <v>136.19999999999999</v>
      </c>
      <c r="AN10">
        <v>0</v>
      </c>
      <c r="AO10">
        <v>0</v>
      </c>
      <c r="AP10">
        <v>0</v>
      </c>
      <c r="AQ10">
        <v>0</v>
      </c>
      <c r="AR10">
        <v>68.8</v>
      </c>
      <c r="AS10">
        <v>56.9</v>
      </c>
      <c r="AT10">
        <v>65.83</v>
      </c>
      <c r="AU10">
        <v>0</v>
      </c>
      <c r="AV10">
        <v>0</v>
      </c>
      <c r="AW10">
        <v>112.48</v>
      </c>
      <c r="AX10">
        <v>61.05</v>
      </c>
      <c r="AY10">
        <v>102.27</v>
      </c>
      <c r="AZ10">
        <v>5.82</v>
      </c>
      <c r="BA10">
        <v>68.8</v>
      </c>
      <c r="BB10">
        <v>0</v>
      </c>
      <c r="BC10">
        <v>25</v>
      </c>
      <c r="BD10">
        <v>143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500</v>
      </c>
      <c r="BN10">
        <v>1600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1600</v>
      </c>
      <c r="BV10">
        <v>388</v>
      </c>
      <c r="BW10" t="s">
        <v>188</v>
      </c>
      <c r="BX10">
        <v>0</v>
      </c>
      <c r="BY10" t="s">
        <v>741</v>
      </c>
      <c r="CA10">
        <v>1600</v>
      </c>
      <c r="CB10">
        <v>68.8</v>
      </c>
      <c r="CC10">
        <v>136.19999999999999</v>
      </c>
      <c r="CD10" t="s">
        <v>188</v>
      </c>
      <c r="CE10" t="s">
        <v>743</v>
      </c>
      <c r="CF10" t="s">
        <v>744</v>
      </c>
      <c r="CG10" t="s">
        <v>745</v>
      </c>
      <c r="CI10" t="s">
        <v>746</v>
      </c>
      <c r="CK10">
        <v>10</v>
      </c>
      <c r="CL10" t="s">
        <v>747</v>
      </c>
      <c r="CM10" t="s">
        <v>748</v>
      </c>
      <c r="CN10" t="s">
        <v>749</v>
      </c>
      <c r="CP10" t="s">
        <v>188</v>
      </c>
      <c r="CQ10" t="s">
        <v>188</v>
      </c>
      <c r="CR10">
        <v>0</v>
      </c>
      <c r="CS10">
        <v>0</v>
      </c>
      <c r="CT10" t="s">
        <v>750</v>
      </c>
      <c r="CX10">
        <v>0</v>
      </c>
      <c r="CY10">
        <v>2100</v>
      </c>
      <c r="CZ10">
        <v>0</v>
      </c>
      <c r="DA10">
        <v>0</v>
      </c>
      <c r="DB10" t="s">
        <v>751</v>
      </c>
      <c r="DC10">
        <v>0</v>
      </c>
      <c r="DD10">
        <v>0</v>
      </c>
      <c r="DI10" t="s">
        <v>752</v>
      </c>
      <c r="DJ10" t="s">
        <v>753</v>
      </c>
      <c r="DK10">
        <v>100</v>
      </c>
      <c r="DQ10" t="s">
        <v>738</v>
      </c>
      <c r="DR10">
        <v>60</v>
      </c>
      <c r="DS10" t="s">
        <v>754</v>
      </c>
      <c r="DT10">
        <v>110</v>
      </c>
      <c r="DU10" t="s">
        <v>755</v>
      </c>
      <c r="DV10">
        <v>120</v>
      </c>
      <c r="EW10" t="s">
        <v>188</v>
      </c>
      <c r="EX10" t="s">
        <v>188</v>
      </c>
      <c r="EY10" t="s">
        <v>188</v>
      </c>
      <c r="EZ10" t="s">
        <v>188</v>
      </c>
      <c r="FA10">
        <v>4</v>
      </c>
      <c r="FB10" t="s">
        <v>188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 t="s">
        <v>188</v>
      </c>
      <c r="GF10" t="s">
        <v>188</v>
      </c>
      <c r="GG10" t="s">
        <v>188</v>
      </c>
      <c r="GH10" s="1">
        <v>44648</v>
      </c>
      <c r="GI10" t="s">
        <v>608</v>
      </c>
      <c r="GJ10" t="s">
        <v>609</v>
      </c>
      <c r="GK10" t="s">
        <v>610</v>
      </c>
      <c r="GN10">
        <v>289</v>
      </c>
      <c r="GO10">
        <v>102</v>
      </c>
      <c r="GP10">
        <v>0</v>
      </c>
      <c r="GQ10" t="s">
        <v>611</v>
      </c>
      <c r="GR10" s="1">
        <v>44648</v>
      </c>
      <c r="GV10" t="s">
        <v>188</v>
      </c>
      <c r="GW10" t="s">
        <v>188</v>
      </c>
      <c r="GX10" t="s">
        <v>188</v>
      </c>
      <c r="GY10" t="s">
        <v>188</v>
      </c>
      <c r="GZ10" t="s">
        <v>188</v>
      </c>
      <c r="HA10" t="s">
        <v>188</v>
      </c>
      <c r="HB10" t="s">
        <v>188</v>
      </c>
      <c r="HC10" t="s">
        <v>188</v>
      </c>
      <c r="HD10" t="s">
        <v>188</v>
      </c>
      <c r="HE10" t="s">
        <v>188</v>
      </c>
      <c r="HH10">
        <v>0</v>
      </c>
      <c r="HI10">
        <v>0</v>
      </c>
      <c r="HJ10">
        <v>66.849999999999994</v>
      </c>
      <c r="HK10">
        <v>57.17</v>
      </c>
      <c r="HL10">
        <v>117.83</v>
      </c>
      <c r="HN10" t="s">
        <v>188</v>
      </c>
      <c r="IS10">
        <v>0</v>
      </c>
      <c r="IT10">
        <v>0</v>
      </c>
      <c r="IU10">
        <v>0</v>
      </c>
      <c r="IV10">
        <v>0</v>
      </c>
      <c r="IW10">
        <v>0</v>
      </c>
      <c r="IX10" t="s">
        <v>756</v>
      </c>
      <c r="IY10">
        <v>0</v>
      </c>
      <c r="IZ10">
        <v>0</v>
      </c>
      <c r="JA10">
        <v>0</v>
      </c>
      <c r="JB10">
        <v>0</v>
      </c>
      <c r="JC10" t="s">
        <v>613</v>
      </c>
      <c r="JD10" t="s">
        <v>757</v>
      </c>
      <c r="JF10">
        <v>0</v>
      </c>
      <c r="JH10" t="s">
        <v>188</v>
      </c>
      <c r="JI10">
        <v>0</v>
      </c>
      <c r="JJ10" t="s">
        <v>188</v>
      </c>
      <c r="JK10">
        <v>118.72</v>
      </c>
      <c r="JL10">
        <v>0</v>
      </c>
      <c r="JM10">
        <v>1</v>
      </c>
    </row>
    <row r="11" spans="1:273" x14ac:dyDescent="0.3">
      <c r="A11" t="s">
        <v>758</v>
      </c>
      <c r="B11" t="s">
        <v>302</v>
      </c>
      <c r="C11" t="s">
        <v>340</v>
      </c>
      <c r="D11" t="s">
        <v>590</v>
      </c>
      <c r="E11" t="s">
        <v>688</v>
      </c>
      <c r="F11" t="s">
        <v>592</v>
      </c>
      <c r="G11">
        <v>4</v>
      </c>
      <c r="H11" t="s">
        <v>759</v>
      </c>
      <c r="I11" t="s">
        <v>594</v>
      </c>
      <c r="J11" t="s">
        <v>595</v>
      </c>
      <c r="L11" t="s">
        <v>688</v>
      </c>
      <c r="M11" t="s">
        <v>758</v>
      </c>
      <c r="N11">
        <v>1</v>
      </c>
      <c r="O11">
        <v>1</v>
      </c>
      <c r="P11">
        <v>1</v>
      </c>
      <c r="Q11">
        <v>10</v>
      </c>
      <c r="R11">
        <v>2</v>
      </c>
      <c r="S11">
        <v>0</v>
      </c>
      <c r="T11">
        <v>0</v>
      </c>
      <c r="U11">
        <v>0</v>
      </c>
      <c r="V11" t="s">
        <v>188</v>
      </c>
      <c r="W11">
        <v>1</v>
      </c>
      <c r="X11">
        <v>0</v>
      </c>
      <c r="Y11">
        <v>0</v>
      </c>
      <c r="Z11">
        <v>1</v>
      </c>
      <c r="AA11">
        <v>0</v>
      </c>
      <c r="AB11">
        <v>1</v>
      </c>
      <c r="AC11" t="s">
        <v>188</v>
      </c>
      <c r="AD11">
        <v>0</v>
      </c>
      <c r="AE11">
        <v>0</v>
      </c>
      <c r="AF11">
        <v>0</v>
      </c>
      <c r="AG11">
        <v>0</v>
      </c>
      <c r="AH11" t="s">
        <v>596</v>
      </c>
      <c r="AI11">
        <v>1</v>
      </c>
      <c r="AJ11" t="s">
        <v>199</v>
      </c>
      <c r="AK11">
        <v>1</v>
      </c>
      <c r="AL11">
        <v>60</v>
      </c>
      <c r="AM11">
        <v>376</v>
      </c>
      <c r="AN11">
        <v>0</v>
      </c>
      <c r="AO11">
        <v>0</v>
      </c>
      <c r="AP11">
        <v>0</v>
      </c>
      <c r="AQ11">
        <v>0</v>
      </c>
      <c r="AR11">
        <v>60.8</v>
      </c>
      <c r="AS11">
        <v>44.8</v>
      </c>
      <c r="AT11">
        <v>63.26</v>
      </c>
      <c r="AU11">
        <v>0</v>
      </c>
      <c r="AV11">
        <v>0</v>
      </c>
      <c r="AW11">
        <v>309.39999999999998</v>
      </c>
      <c r="AX11">
        <v>56.92</v>
      </c>
      <c r="AY11">
        <v>272.94</v>
      </c>
      <c r="AZ11">
        <v>7.61</v>
      </c>
      <c r="BA11">
        <v>60.8</v>
      </c>
      <c r="BB11">
        <v>0</v>
      </c>
      <c r="BC11">
        <v>30</v>
      </c>
      <c r="BD11">
        <v>134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400</v>
      </c>
      <c r="BN11">
        <v>1100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1100</v>
      </c>
      <c r="BV11">
        <v>552</v>
      </c>
      <c r="BW11" t="s">
        <v>188</v>
      </c>
      <c r="BX11">
        <v>0</v>
      </c>
      <c r="BY11" t="s">
        <v>758</v>
      </c>
      <c r="CA11">
        <v>1100</v>
      </c>
      <c r="CB11">
        <v>60.8</v>
      </c>
      <c r="CC11">
        <v>376</v>
      </c>
      <c r="CD11" t="s">
        <v>188</v>
      </c>
      <c r="CE11" t="s">
        <v>760</v>
      </c>
      <c r="CF11" t="s">
        <v>761</v>
      </c>
      <c r="CG11" t="s">
        <v>762</v>
      </c>
      <c r="CI11" t="s">
        <v>763</v>
      </c>
      <c r="CK11">
        <v>25</v>
      </c>
      <c r="CL11" t="s">
        <v>764</v>
      </c>
      <c r="CM11" t="s">
        <v>765</v>
      </c>
      <c r="CN11" t="s">
        <v>766</v>
      </c>
      <c r="CP11" t="s">
        <v>188</v>
      </c>
      <c r="CQ11" t="s">
        <v>188</v>
      </c>
      <c r="CR11">
        <v>0</v>
      </c>
      <c r="CS11">
        <v>0</v>
      </c>
      <c r="CT11" t="s">
        <v>767</v>
      </c>
      <c r="CX11">
        <v>0</v>
      </c>
      <c r="CY11">
        <v>2100</v>
      </c>
      <c r="CZ11">
        <v>0</v>
      </c>
      <c r="DA11">
        <v>0</v>
      </c>
      <c r="DB11" t="s">
        <v>768</v>
      </c>
      <c r="DC11">
        <v>0</v>
      </c>
      <c r="DD11">
        <v>0</v>
      </c>
      <c r="DI11" t="s">
        <v>769</v>
      </c>
      <c r="DJ11" t="s">
        <v>770</v>
      </c>
      <c r="DK11">
        <v>150</v>
      </c>
      <c r="DQ11" t="s">
        <v>771</v>
      </c>
      <c r="DR11">
        <v>120</v>
      </c>
      <c r="DS11" t="s">
        <v>772</v>
      </c>
      <c r="DT11">
        <v>225</v>
      </c>
      <c r="DU11" t="s">
        <v>773</v>
      </c>
      <c r="DV11">
        <v>260</v>
      </c>
      <c r="EW11" t="s">
        <v>188</v>
      </c>
      <c r="EX11" t="s">
        <v>188</v>
      </c>
      <c r="EY11" t="s">
        <v>188</v>
      </c>
      <c r="EZ11" t="s">
        <v>188</v>
      </c>
      <c r="FA11">
        <v>4</v>
      </c>
      <c r="FB11" t="s">
        <v>188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 t="s">
        <v>188</v>
      </c>
      <c r="GF11" t="s">
        <v>188</v>
      </c>
      <c r="GG11" t="s">
        <v>188</v>
      </c>
      <c r="GH11" s="1">
        <v>44648</v>
      </c>
      <c r="GI11" t="s">
        <v>608</v>
      </c>
      <c r="GJ11" t="s">
        <v>609</v>
      </c>
      <c r="GK11" t="s">
        <v>610</v>
      </c>
      <c r="GN11">
        <v>356</v>
      </c>
      <c r="GO11">
        <v>152</v>
      </c>
      <c r="GP11">
        <v>0</v>
      </c>
      <c r="GQ11" t="s">
        <v>611</v>
      </c>
      <c r="GR11" s="1">
        <v>44648</v>
      </c>
      <c r="GV11" t="s">
        <v>188</v>
      </c>
      <c r="GW11" t="s">
        <v>188</v>
      </c>
      <c r="GX11" t="s">
        <v>188</v>
      </c>
      <c r="GY11" t="s">
        <v>188</v>
      </c>
      <c r="GZ11" t="s">
        <v>188</v>
      </c>
      <c r="HA11" t="s">
        <v>188</v>
      </c>
      <c r="HB11" t="s">
        <v>188</v>
      </c>
      <c r="HC11" t="s">
        <v>188</v>
      </c>
      <c r="HD11" t="s">
        <v>188</v>
      </c>
      <c r="HE11" t="s">
        <v>188</v>
      </c>
      <c r="HH11">
        <v>0</v>
      </c>
      <c r="HI11">
        <v>0</v>
      </c>
      <c r="HJ11">
        <v>62.14</v>
      </c>
      <c r="HK11">
        <v>46.23</v>
      </c>
      <c r="HL11">
        <v>277.13</v>
      </c>
      <c r="HN11" t="s">
        <v>188</v>
      </c>
      <c r="IS11">
        <v>0</v>
      </c>
      <c r="IT11">
        <v>0</v>
      </c>
      <c r="IU11">
        <v>0</v>
      </c>
      <c r="IV11">
        <v>0</v>
      </c>
      <c r="IW11">
        <v>0</v>
      </c>
      <c r="IX11" t="s">
        <v>774</v>
      </c>
      <c r="IY11">
        <v>0</v>
      </c>
      <c r="IZ11">
        <v>0</v>
      </c>
      <c r="JA11">
        <v>0</v>
      </c>
      <c r="JB11">
        <v>0</v>
      </c>
      <c r="JC11" t="s">
        <v>613</v>
      </c>
      <c r="JD11" t="s">
        <v>775</v>
      </c>
      <c r="JF11">
        <v>0</v>
      </c>
      <c r="JH11" t="s">
        <v>188</v>
      </c>
      <c r="JI11">
        <v>0</v>
      </c>
      <c r="JJ11" t="s">
        <v>188</v>
      </c>
      <c r="JK11">
        <v>275.24</v>
      </c>
      <c r="JL11">
        <v>0</v>
      </c>
      <c r="JM11">
        <v>1</v>
      </c>
    </row>
    <row r="12" spans="1:273" x14ac:dyDescent="0.3">
      <c r="A12" t="s">
        <v>776</v>
      </c>
      <c r="B12" t="s">
        <v>302</v>
      </c>
      <c r="C12" t="s">
        <v>340</v>
      </c>
      <c r="D12" t="s">
        <v>590</v>
      </c>
      <c r="E12" t="s">
        <v>688</v>
      </c>
      <c r="F12" t="s">
        <v>592</v>
      </c>
      <c r="G12">
        <v>8</v>
      </c>
      <c r="H12" t="s">
        <v>777</v>
      </c>
      <c r="I12" t="s">
        <v>594</v>
      </c>
      <c r="J12" t="s">
        <v>595</v>
      </c>
      <c r="L12" t="s">
        <v>688</v>
      </c>
      <c r="M12" t="s">
        <v>776</v>
      </c>
      <c r="N12">
        <v>1</v>
      </c>
      <c r="O12">
        <v>1</v>
      </c>
      <c r="P12">
        <v>1</v>
      </c>
      <c r="Q12">
        <v>9</v>
      </c>
      <c r="R12">
        <v>2</v>
      </c>
      <c r="S12">
        <v>0</v>
      </c>
      <c r="T12">
        <v>0</v>
      </c>
      <c r="U12">
        <v>0</v>
      </c>
      <c r="V12" t="s">
        <v>188</v>
      </c>
      <c r="W12">
        <v>1</v>
      </c>
      <c r="X12">
        <v>0</v>
      </c>
      <c r="Y12">
        <v>0</v>
      </c>
      <c r="Z12">
        <v>1</v>
      </c>
      <c r="AA12">
        <v>0</v>
      </c>
      <c r="AB12">
        <v>1</v>
      </c>
      <c r="AC12" t="s">
        <v>188</v>
      </c>
      <c r="AD12">
        <v>0</v>
      </c>
      <c r="AE12">
        <v>0</v>
      </c>
      <c r="AF12">
        <v>0</v>
      </c>
      <c r="AG12">
        <v>0</v>
      </c>
      <c r="AH12" t="s">
        <v>596</v>
      </c>
      <c r="AI12">
        <v>1</v>
      </c>
      <c r="AJ12" t="s">
        <v>199</v>
      </c>
      <c r="AK12">
        <v>1</v>
      </c>
      <c r="AL12">
        <v>100</v>
      </c>
      <c r="AM12">
        <v>620</v>
      </c>
      <c r="AN12">
        <v>0</v>
      </c>
      <c r="AO12">
        <v>0</v>
      </c>
      <c r="AP12">
        <v>0</v>
      </c>
      <c r="AQ12">
        <v>0</v>
      </c>
      <c r="AR12">
        <v>62.2</v>
      </c>
      <c r="AS12">
        <v>42.7</v>
      </c>
      <c r="AT12">
        <v>71.290000000000006</v>
      </c>
      <c r="AU12">
        <v>0</v>
      </c>
      <c r="AV12">
        <v>0</v>
      </c>
      <c r="AW12">
        <v>423.86</v>
      </c>
      <c r="AX12">
        <v>54.59</v>
      </c>
      <c r="AY12">
        <v>318.22000000000003</v>
      </c>
      <c r="AZ12">
        <v>8.02</v>
      </c>
      <c r="BA12">
        <v>62.2</v>
      </c>
      <c r="BB12">
        <v>0</v>
      </c>
      <c r="BC12">
        <v>26</v>
      </c>
      <c r="BD12">
        <v>109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400</v>
      </c>
      <c r="BN12">
        <v>800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800</v>
      </c>
      <c r="BV12">
        <v>715</v>
      </c>
      <c r="BW12" t="s">
        <v>188</v>
      </c>
      <c r="BX12">
        <v>0</v>
      </c>
      <c r="BY12" t="s">
        <v>776</v>
      </c>
      <c r="CA12">
        <v>800</v>
      </c>
      <c r="CB12">
        <v>62.2</v>
      </c>
      <c r="CC12">
        <v>620</v>
      </c>
      <c r="CD12" t="s">
        <v>188</v>
      </c>
      <c r="CE12" t="s">
        <v>778</v>
      </c>
      <c r="CF12" t="s">
        <v>779</v>
      </c>
      <c r="CG12" t="s">
        <v>780</v>
      </c>
      <c r="CI12" t="s">
        <v>781</v>
      </c>
      <c r="CK12">
        <v>25</v>
      </c>
      <c r="CL12" t="s">
        <v>782</v>
      </c>
      <c r="CM12" t="s">
        <v>783</v>
      </c>
      <c r="CN12" t="s">
        <v>784</v>
      </c>
      <c r="CO12">
        <v>0</v>
      </c>
      <c r="CP12" t="s">
        <v>188</v>
      </c>
      <c r="CQ12" t="s">
        <v>188</v>
      </c>
      <c r="CR12">
        <v>0</v>
      </c>
      <c r="CS12">
        <v>0</v>
      </c>
      <c r="CT12" t="s">
        <v>785</v>
      </c>
      <c r="CX12">
        <v>0</v>
      </c>
      <c r="CY12">
        <v>2100</v>
      </c>
      <c r="CZ12">
        <v>0</v>
      </c>
      <c r="DA12">
        <v>0</v>
      </c>
      <c r="DB12" t="s">
        <v>786</v>
      </c>
      <c r="DC12">
        <v>0</v>
      </c>
      <c r="DD12">
        <v>0</v>
      </c>
      <c r="DI12" t="s">
        <v>787</v>
      </c>
      <c r="DJ12" t="s">
        <v>788</v>
      </c>
      <c r="DK12">
        <v>200</v>
      </c>
      <c r="DQ12" t="s">
        <v>701</v>
      </c>
      <c r="DR12">
        <v>260</v>
      </c>
      <c r="DS12" t="s">
        <v>702</v>
      </c>
      <c r="DT12">
        <v>425</v>
      </c>
      <c r="DU12" t="s">
        <v>703</v>
      </c>
      <c r="DV12">
        <v>600</v>
      </c>
      <c r="EW12" t="s">
        <v>188</v>
      </c>
      <c r="EX12" t="s">
        <v>188</v>
      </c>
      <c r="EY12" t="s">
        <v>188</v>
      </c>
      <c r="EZ12" t="s">
        <v>188</v>
      </c>
      <c r="FA12">
        <v>4</v>
      </c>
      <c r="FB12" t="s">
        <v>188</v>
      </c>
      <c r="FC12" t="s">
        <v>681</v>
      </c>
      <c r="FD12" t="s">
        <v>682</v>
      </c>
      <c r="FE12">
        <v>1.1111111111111101E+31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 t="s">
        <v>188</v>
      </c>
      <c r="GF12" t="s">
        <v>188</v>
      </c>
      <c r="GG12" t="s">
        <v>188</v>
      </c>
      <c r="GH12" s="1">
        <v>44648</v>
      </c>
      <c r="GI12" t="s">
        <v>608</v>
      </c>
      <c r="GJ12" t="s">
        <v>609</v>
      </c>
      <c r="GK12" t="s">
        <v>610</v>
      </c>
      <c r="GN12">
        <v>203</v>
      </c>
      <c r="GO12">
        <v>455</v>
      </c>
      <c r="GP12">
        <v>0</v>
      </c>
      <c r="GQ12" t="s">
        <v>611</v>
      </c>
      <c r="GR12" s="1">
        <v>44690</v>
      </c>
      <c r="GV12" t="s">
        <v>188</v>
      </c>
      <c r="GW12" t="s">
        <v>188</v>
      </c>
      <c r="GX12" t="s">
        <v>188</v>
      </c>
      <c r="GY12" t="s">
        <v>188</v>
      </c>
      <c r="GZ12" t="s">
        <v>188</v>
      </c>
      <c r="HA12" t="s">
        <v>188</v>
      </c>
      <c r="HB12" t="s">
        <v>188</v>
      </c>
      <c r="HC12" t="s">
        <v>188</v>
      </c>
      <c r="HD12" t="s">
        <v>188</v>
      </c>
      <c r="HE12" t="s">
        <v>188</v>
      </c>
      <c r="HH12">
        <v>0</v>
      </c>
      <c r="HI12">
        <v>0</v>
      </c>
      <c r="HJ12">
        <v>62.16</v>
      </c>
      <c r="HK12">
        <v>50.01</v>
      </c>
      <c r="HL12">
        <v>354.44</v>
      </c>
      <c r="HN12" t="s">
        <v>188</v>
      </c>
      <c r="IS12">
        <v>0</v>
      </c>
      <c r="IT12">
        <v>0</v>
      </c>
      <c r="IU12">
        <v>0</v>
      </c>
      <c r="IV12">
        <v>0</v>
      </c>
      <c r="IW12">
        <v>0</v>
      </c>
      <c r="IX12" t="s">
        <v>789</v>
      </c>
      <c r="IY12">
        <v>0</v>
      </c>
      <c r="IZ12">
        <v>0</v>
      </c>
      <c r="JA12">
        <v>0</v>
      </c>
      <c r="JB12">
        <v>0</v>
      </c>
      <c r="JC12" t="s">
        <v>613</v>
      </c>
      <c r="JD12" t="s">
        <v>790</v>
      </c>
      <c r="JE12" t="s">
        <v>791</v>
      </c>
      <c r="JF12">
        <v>0</v>
      </c>
      <c r="JH12" t="s">
        <v>188</v>
      </c>
      <c r="JI12">
        <v>0</v>
      </c>
      <c r="JJ12" t="s">
        <v>188</v>
      </c>
      <c r="JK12">
        <v>399.31</v>
      </c>
      <c r="JL12">
        <v>0</v>
      </c>
      <c r="JM12">
        <v>1</v>
      </c>
    </row>
    <row r="13" spans="1:273" x14ac:dyDescent="0.3">
      <c r="A13" t="s">
        <v>792</v>
      </c>
      <c r="B13" t="s">
        <v>302</v>
      </c>
      <c r="C13" t="s">
        <v>340</v>
      </c>
      <c r="D13" t="s">
        <v>657</v>
      </c>
      <c r="E13" t="s">
        <v>793</v>
      </c>
      <c r="F13" t="s">
        <v>592</v>
      </c>
      <c r="G13">
        <v>4</v>
      </c>
      <c r="J13" t="s">
        <v>661</v>
      </c>
      <c r="N13">
        <v>3</v>
      </c>
      <c r="O13">
        <v>3</v>
      </c>
      <c r="P13">
        <v>1</v>
      </c>
      <c r="Q13">
        <v>12</v>
      </c>
      <c r="R13">
        <v>2</v>
      </c>
      <c r="S13">
        <v>0</v>
      </c>
      <c r="T13">
        <v>0</v>
      </c>
      <c r="U13">
        <v>0</v>
      </c>
      <c r="V13" t="s">
        <v>188</v>
      </c>
      <c r="W13">
        <v>1</v>
      </c>
      <c r="X13">
        <v>0</v>
      </c>
      <c r="Y13">
        <v>0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 t="s">
        <v>596</v>
      </c>
      <c r="AI13">
        <v>1</v>
      </c>
      <c r="AJ13" t="s">
        <v>199</v>
      </c>
      <c r="AK13">
        <v>1</v>
      </c>
      <c r="AL13">
        <v>81.8</v>
      </c>
      <c r="AM13">
        <v>300</v>
      </c>
      <c r="AN13">
        <v>0</v>
      </c>
      <c r="AO13">
        <v>0</v>
      </c>
      <c r="AP13">
        <v>0</v>
      </c>
      <c r="AQ13">
        <v>0</v>
      </c>
      <c r="AR13">
        <v>102.1</v>
      </c>
      <c r="AS13">
        <v>67.7</v>
      </c>
      <c r="AT13">
        <v>72.150000000000006</v>
      </c>
      <c r="AU13">
        <v>0</v>
      </c>
      <c r="AV13">
        <v>0</v>
      </c>
      <c r="AW13">
        <v>222.78</v>
      </c>
      <c r="AX13">
        <v>81.45</v>
      </c>
      <c r="AY13">
        <v>246.56</v>
      </c>
      <c r="AZ13">
        <v>9.1199999999999992</v>
      </c>
      <c r="BA13">
        <v>102.1</v>
      </c>
      <c r="BB13">
        <v>0</v>
      </c>
      <c r="BC13">
        <v>28</v>
      </c>
      <c r="BD13">
        <v>144</v>
      </c>
      <c r="BE13">
        <v>0</v>
      </c>
      <c r="BF13">
        <v>0</v>
      </c>
      <c r="BG13">
        <v>0</v>
      </c>
      <c r="BH13">
        <v>0</v>
      </c>
      <c r="BI13">
        <v>460</v>
      </c>
      <c r="BJ13">
        <v>460</v>
      </c>
      <c r="BK13">
        <v>460</v>
      </c>
      <c r="BL13">
        <v>50</v>
      </c>
      <c r="BM13">
        <v>600</v>
      </c>
      <c r="BN13">
        <v>1600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1600</v>
      </c>
      <c r="BV13">
        <v>460</v>
      </c>
      <c r="BW13" t="s">
        <v>188</v>
      </c>
      <c r="BX13">
        <v>0</v>
      </c>
      <c r="BY13" t="s">
        <v>794</v>
      </c>
      <c r="CA13" t="s">
        <v>795</v>
      </c>
      <c r="CB13" t="s">
        <v>796</v>
      </c>
      <c r="CC13" t="s">
        <v>797</v>
      </c>
      <c r="CD13" t="s">
        <v>188</v>
      </c>
      <c r="CE13" t="s">
        <v>798</v>
      </c>
      <c r="CF13" t="s">
        <v>799</v>
      </c>
      <c r="CG13" t="s">
        <v>800</v>
      </c>
      <c r="CI13" t="s">
        <v>801</v>
      </c>
      <c r="CK13" t="s">
        <v>802</v>
      </c>
      <c r="CL13" t="s">
        <v>803</v>
      </c>
      <c r="CM13" t="s">
        <v>804</v>
      </c>
      <c r="CN13" t="s">
        <v>805</v>
      </c>
      <c r="CO13" t="s">
        <v>674</v>
      </c>
      <c r="CP13" t="s">
        <v>188</v>
      </c>
      <c r="CQ13" t="s">
        <v>188</v>
      </c>
      <c r="CR13">
        <v>69</v>
      </c>
      <c r="CS13">
        <v>0</v>
      </c>
      <c r="CT13" t="s">
        <v>806</v>
      </c>
      <c r="CU13" t="s">
        <v>807</v>
      </c>
      <c r="CX13">
        <v>0</v>
      </c>
      <c r="CY13">
        <v>21</v>
      </c>
      <c r="CZ13">
        <v>0</v>
      </c>
      <c r="DA13">
        <v>0</v>
      </c>
      <c r="DC13">
        <v>0</v>
      </c>
      <c r="DD13">
        <v>0</v>
      </c>
      <c r="DJ13" t="s">
        <v>808</v>
      </c>
      <c r="DK13" t="s">
        <v>809</v>
      </c>
      <c r="DL13" t="s">
        <v>809</v>
      </c>
      <c r="DQ13" t="s">
        <v>810</v>
      </c>
      <c r="DR13">
        <v>300</v>
      </c>
      <c r="EW13" t="s">
        <v>188</v>
      </c>
      <c r="EX13" t="s">
        <v>188</v>
      </c>
      <c r="EY13" t="s">
        <v>188</v>
      </c>
      <c r="EZ13" t="s">
        <v>188</v>
      </c>
      <c r="FA13">
        <v>4</v>
      </c>
      <c r="FB13" t="s">
        <v>188</v>
      </c>
      <c r="FC13" t="s">
        <v>811</v>
      </c>
      <c r="FD13" t="s">
        <v>682</v>
      </c>
      <c r="FE13">
        <v>1.1111111111111101E+31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 t="s">
        <v>188</v>
      </c>
      <c r="GF13" t="s">
        <v>188</v>
      </c>
      <c r="GG13" t="s">
        <v>188</v>
      </c>
      <c r="GH13" s="1">
        <v>45484</v>
      </c>
      <c r="GJ13" t="s">
        <v>812</v>
      </c>
      <c r="GK13" t="s">
        <v>812</v>
      </c>
      <c r="GL13">
        <v>0</v>
      </c>
      <c r="GM13">
        <v>0</v>
      </c>
      <c r="GN13">
        <v>200</v>
      </c>
      <c r="GO13">
        <v>200</v>
      </c>
      <c r="GP13">
        <v>0</v>
      </c>
      <c r="GR13" s="1">
        <v>45485</v>
      </c>
      <c r="GV13" t="s">
        <v>188</v>
      </c>
      <c r="GW13" t="s">
        <v>188</v>
      </c>
      <c r="GX13" t="s">
        <v>188</v>
      </c>
      <c r="GY13" t="s">
        <v>188</v>
      </c>
      <c r="GZ13" t="s">
        <v>188</v>
      </c>
      <c r="HA13" t="s">
        <v>188</v>
      </c>
      <c r="HB13" t="s">
        <v>188</v>
      </c>
      <c r="HC13" t="s">
        <v>188</v>
      </c>
      <c r="HD13" t="s">
        <v>188</v>
      </c>
      <c r="HE13" t="s">
        <v>188</v>
      </c>
      <c r="HH13">
        <v>0</v>
      </c>
      <c r="HI13">
        <v>0</v>
      </c>
      <c r="HJ13">
        <v>101.74</v>
      </c>
      <c r="HK13">
        <v>73.72</v>
      </c>
      <c r="HL13">
        <v>272.64</v>
      </c>
      <c r="HN13" t="s">
        <v>188</v>
      </c>
      <c r="IS13">
        <v>0</v>
      </c>
      <c r="IT13">
        <v>0</v>
      </c>
      <c r="IU13">
        <v>0</v>
      </c>
      <c r="IV13">
        <v>0</v>
      </c>
      <c r="IW13">
        <v>0</v>
      </c>
      <c r="IX13" t="s">
        <v>813</v>
      </c>
      <c r="IY13">
        <v>0</v>
      </c>
      <c r="IZ13">
        <v>0</v>
      </c>
      <c r="JA13">
        <v>0</v>
      </c>
      <c r="JB13">
        <v>0</v>
      </c>
      <c r="JC13" t="s">
        <v>613</v>
      </c>
      <c r="JD13" t="s">
        <v>814</v>
      </c>
      <c r="JE13" t="s">
        <v>815</v>
      </c>
      <c r="JF13">
        <v>2</v>
      </c>
      <c r="JG13" t="s">
        <v>816</v>
      </c>
      <c r="JH13" t="s">
        <v>188</v>
      </c>
      <c r="JI13">
        <v>0</v>
      </c>
      <c r="JJ13" t="s">
        <v>188</v>
      </c>
      <c r="JK13">
        <v>292.82</v>
      </c>
      <c r="JL13">
        <v>13.9</v>
      </c>
      <c r="JM13">
        <v>3</v>
      </c>
    </row>
    <row r="14" spans="1:273" x14ac:dyDescent="0.3">
      <c r="A14" t="s">
        <v>817</v>
      </c>
      <c r="B14" t="s">
        <v>302</v>
      </c>
      <c r="C14" t="s">
        <v>340</v>
      </c>
      <c r="D14" t="s">
        <v>657</v>
      </c>
      <c r="E14" t="s">
        <v>818</v>
      </c>
      <c r="F14" t="s">
        <v>592</v>
      </c>
      <c r="G14">
        <v>4</v>
      </c>
      <c r="H14" t="s">
        <v>819</v>
      </c>
      <c r="I14" t="s">
        <v>594</v>
      </c>
      <c r="J14" t="s">
        <v>595</v>
      </c>
      <c r="L14" t="s">
        <v>818</v>
      </c>
      <c r="M14" t="s">
        <v>817</v>
      </c>
      <c r="N14">
        <v>1</v>
      </c>
      <c r="O14">
        <v>1</v>
      </c>
      <c r="P14">
        <v>1</v>
      </c>
      <c r="Q14">
        <v>8</v>
      </c>
      <c r="R14">
        <v>2</v>
      </c>
      <c r="S14">
        <v>0</v>
      </c>
      <c r="T14">
        <v>0</v>
      </c>
      <c r="U14">
        <v>0</v>
      </c>
      <c r="V14" t="s">
        <v>188</v>
      </c>
      <c r="W14">
        <v>1</v>
      </c>
      <c r="X14">
        <v>0</v>
      </c>
      <c r="Y14">
        <v>0</v>
      </c>
      <c r="Z14">
        <v>1</v>
      </c>
      <c r="AA14">
        <v>0</v>
      </c>
      <c r="AB14">
        <v>1</v>
      </c>
      <c r="AC14" t="s">
        <v>188</v>
      </c>
      <c r="AD14">
        <v>0</v>
      </c>
      <c r="AE14">
        <v>0</v>
      </c>
      <c r="AF14">
        <v>0</v>
      </c>
      <c r="AG14">
        <v>0</v>
      </c>
      <c r="AH14" t="s">
        <v>596</v>
      </c>
      <c r="AI14">
        <v>1</v>
      </c>
      <c r="AJ14" t="s">
        <v>199</v>
      </c>
      <c r="AK14">
        <v>1</v>
      </c>
      <c r="AL14">
        <v>40</v>
      </c>
      <c r="AM14">
        <v>180</v>
      </c>
      <c r="AN14">
        <v>0</v>
      </c>
      <c r="AO14">
        <v>0</v>
      </c>
      <c r="AP14">
        <v>0</v>
      </c>
      <c r="AQ14">
        <v>0</v>
      </c>
      <c r="AR14">
        <v>118</v>
      </c>
      <c r="AS14">
        <v>82.5</v>
      </c>
      <c r="AT14">
        <v>70.209999999999994</v>
      </c>
      <c r="AU14">
        <v>0</v>
      </c>
      <c r="AV14">
        <v>0</v>
      </c>
      <c r="AW14">
        <v>141.09</v>
      </c>
      <c r="AX14">
        <v>104.29</v>
      </c>
      <c r="AY14">
        <v>205.46</v>
      </c>
      <c r="AZ14">
        <v>7.08</v>
      </c>
      <c r="BA14">
        <v>118</v>
      </c>
      <c r="BB14">
        <v>0</v>
      </c>
      <c r="BC14">
        <v>18</v>
      </c>
      <c r="BD14">
        <v>138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1000</v>
      </c>
      <c r="BN14">
        <v>1600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1600</v>
      </c>
      <c r="BV14">
        <v>550</v>
      </c>
      <c r="BW14" t="s">
        <v>188</v>
      </c>
      <c r="BX14">
        <v>0</v>
      </c>
      <c r="BY14" t="s">
        <v>817</v>
      </c>
      <c r="CA14">
        <v>1600</v>
      </c>
      <c r="CB14">
        <v>118</v>
      </c>
      <c r="CC14">
        <v>180</v>
      </c>
      <c r="CD14" t="s">
        <v>188</v>
      </c>
      <c r="CE14" t="s">
        <v>820</v>
      </c>
      <c r="CF14" t="s">
        <v>821</v>
      </c>
      <c r="CG14" t="s">
        <v>822</v>
      </c>
      <c r="CI14" t="s">
        <v>823</v>
      </c>
      <c r="CK14">
        <v>10</v>
      </c>
      <c r="CL14" t="s">
        <v>824</v>
      </c>
      <c r="CM14" t="s">
        <v>825</v>
      </c>
      <c r="CN14" t="s">
        <v>826</v>
      </c>
      <c r="CP14" t="s">
        <v>188</v>
      </c>
      <c r="CQ14" t="s">
        <v>188</v>
      </c>
      <c r="CR14">
        <v>6</v>
      </c>
      <c r="CS14">
        <v>0</v>
      </c>
      <c r="CT14" t="s">
        <v>827</v>
      </c>
      <c r="CX14">
        <v>0</v>
      </c>
      <c r="CY14">
        <v>6990</v>
      </c>
      <c r="CZ14">
        <v>0</v>
      </c>
      <c r="DA14">
        <v>0</v>
      </c>
      <c r="DB14" t="s">
        <v>828</v>
      </c>
      <c r="DC14">
        <v>0</v>
      </c>
      <c r="DD14">
        <v>0</v>
      </c>
      <c r="DI14" t="s">
        <v>829</v>
      </c>
      <c r="DJ14" t="s">
        <v>830</v>
      </c>
      <c r="DK14" t="s">
        <v>831</v>
      </c>
      <c r="DQ14" t="s">
        <v>818</v>
      </c>
      <c r="DR14">
        <v>300</v>
      </c>
      <c r="DS14">
        <v>0</v>
      </c>
      <c r="DT14">
        <v>0</v>
      </c>
      <c r="DU14">
        <v>0</v>
      </c>
      <c r="DV14">
        <v>0</v>
      </c>
      <c r="EW14" t="s">
        <v>188</v>
      </c>
      <c r="EX14" t="s">
        <v>188</v>
      </c>
      <c r="EY14" t="s">
        <v>188</v>
      </c>
      <c r="EZ14" t="s">
        <v>188</v>
      </c>
      <c r="FA14">
        <v>4</v>
      </c>
      <c r="FB14" t="s">
        <v>188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 t="s">
        <v>188</v>
      </c>
      <c r="GF14" t="s">
        <v>188</v>
      </c>
      <c r="GG14" t="s">
        <v>188</v>
      </c>
      <c r="GH14" s="1">
        <v>44648</v>
      </c>
      <c r="GI14" t="s">
        <v>608</v>
      </c>
      <c r="GJ14" t="s">
        <v>609</v>
      </c>
      <c r="GK14" t="s">
        <v>610</v>
      </c>
      <c r="GN14">
        <v>203.2</v>
      </c>
      <c r="GO14">
        <v>152.4</v>
      </c>
      <c r="GP14">
        <v>0</v>
      </c>
      <c r="GQ14" t="s">
        <v>611</v>
      </c>
      <c r="GR14" s="1">
        <v>44648</v>
      </c>
      <c r="GV14" t="s">
        <v>188</v>
      </c>
      <c r="GW14" t="s">
        <v>188</v>
      </c>
      <c r="GX14" t="s">
        <v>188</v>
      </c>
      <c r="GY14" t="s">
        <v>188</v>
      </c>
      <c r="GZ14" t="s">
        <v>188</v>
      </c>
      <c r="HA14" t="s">
        <v>188</v>
      </c>
      <c r="HB14" t="s">
        <v>188</v>
      </c>
      <c r="HC14" t="s">
        <v>188</v>
      </c>
      <c r="HD14" t="s">
        <v>188</v>
      </c>
      <c r="HE14" t="s">
        <v>188</v>
      </c>
      <c r="HH14">
        <v>0</v>
      </c>
      <c r="HI14">
        <v>0</v>
      </c>
      <c r="HJ14">
        <v>124.06</v>
      </c>
      <c r="HK14">
        <v>89.19</v>
      </c>
      <c r="HL14">
        <v>224.03</v>
      </c>
      <c r="HN14" t="s">
        <v>188</v>
      </c>
      <c r="IS14">
        <v>0</v>
      </c>
      <c r="IT14">
        <v>0</v>
      </c>
      <c r="IU14">
        <v>0</v>
      </c>
      <c r="IV14">
        <v>0</v>
      </c>
      <c r="IW14">
        <v>0</v>
      </c>
      <c r="IX14" t="s">
        <v>832</v>
      </c>
      <c r="IY14">
        <v>0</v>
      </c>
      <c r="IZ14">
        <v>0</v>
      </c>
      <c r="JA14">
        <v>0</v>
      </c>
      <c r="JB14">
        <v>0</v>
      </c>
      <c r="JC14" t="s">
        <v>613</v>
      </c>
      <c r="JD14" t="s">
        <v>833</v>
      </c>
      <c r="JF14">
        <v>0</v>
      </c>
      <c r="JH14" t="s">
        <v>188</v>
      </c>
      <c r="JI14">
        <v>0</v>
      </c>
      <c r="JJ14" t="s">
        <v>188</v>
      </c>
      <c r="JK14">
        <v>0</v>
      </c>
      <c r="JL14">
        <v>0</v>
      </c>
      <c r="JM14">
        <v>1</v>
      </c>
    </row>
    <row r="15" spans="1:273" x14ac:dyDescent="0.3">
      <c r="A15" t="s">
        <v>834</v>
      </c>
      <c r="B15" t="s">
        <v>302</v>
      </c>
      <c r="C15" t="s">
        <v>835</v>
      </c>
      <c r="D15" t="s">
        <v>590</v>
      </c>
      <c r="E15" t="s">
        <v>836</v>
      </c>
      <c r="F15" t="s">
        <v>592</v>
      </c>
      <c r="G15" t="s">
        <v>837</v>
      </c>
      <c r="H15" t="s">
        <v>837</v>
      </c>
      <c r="I15" t="s">
        <v>302</v>
      </c>
      <c r="J15" t="s">
        <v>661</v>
      </c>
      <c r="N15">
        <v>1</v>
      </c>
      <c r="O15">
        <v>1</v>
      </c>
      <c r="P15">
        <v>1</v>
      </c>
      <c r="Q15">
        <v>8</v>
      </c>
      <c r="R15">
        <v>2</v>
      </c>
      <c r="S15">
        <v>0</v>
      </c>
      <c r="T15">
        <v>0</v>
      </c>
      <c r="U15">
        <v>0</v>
      </c>
      <c r="V15" t="s">
        <v>188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 t="s">
        <v>596</v>
      </c>
      <c r="AI15">
        <v>1</v>
      </c>
      <c r="AJ15" t="s">
        <v>199</v>
      </c>
      <c r="AK15">
        <v>1</v>
      </c>
      <c r="AL15">
        <v>26.3</v>
      </c>
      <c r="AM15">
        <v>173.3</v>
      </c>
      <c r="AN15">
        <v>0</v>
      </c>
      <c r="AO15">
        <v>0</v>
      </c>
      <c r="AP15">
        <v>0</v>
      </c>
      <c r="AQ15">
        <v>0</v>
      </c>
      <c r="AR15">
        <v>59.9</v>
      </c>
      <c r="AS15">
        <v>22.6</v>
      </c>
      <c r="AT15">
        <v>75.819999999999993</v>
      </c>
      <c r="AU15">
        <v>0</v>
      </c>
      <c r="AV15">
        <v>0</v>
      </c>
      <c r="AW15">
        <v>129.19999999999999</v>
      </c>
      <c r="AX15">
        <v>40.07</v>
      </c>
      <c r="AY15">
        <v>66.94</v>
      </c>
      <c r="AZ15">
        <v>4.58</v>
      </c>
      <c r="BA15">
        <v>59.9</v>
      </c>
      <c r="BB15">
        <v>0</v>
      </c>
      <c r="BC15">
        <v>50</v>
      </c>
      <c r="BD15">
        <v>253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1400</v>
      </c>
      <c r="BN15">
        <v>2200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2200</v>
      </c>
      <c r="BV15">
        <v>285</v>
      </c>
      <c r="BW15" t="s">
        <v>188</v>
      </c>
      <c r="BX15">
        <v>0</v>
      </c>
      <c r="BY15" t="s">
        <v>838</v>
      </c>
      <c r="CA15">
        <v>2200</v>
      </c>
      <c r="CB15">
        <v>59.9</v>
      </c>
      <c r="CC15">
        <v>165.3</v>
      </c>
      <c r="CD15" t="s">
        <v>188</v>
      </c>
      <c r="CE15" t="s">
        <v>839</v>
      </c>
      <c r="CF15" t="s">
        <v>840</v>
      </c>
      <c r="CG15" t="s">
        <v>841</v>
      </c>
      <c r="CI15" t="s">
        <v>842</v>
      </c>
      <c r="CK15">
        <v>10</v>
      </c>
      <c r="CL15" t="s">
        <v>843</v>
      </c>
      <c r="CM15" t="s">
        <v>844</v>
      </c>
      <c r="CN15" t="s">
        <v>845</v>
      </c>
      <c r="CO15">
        <v>0</v>
      </c>
      <c r="CP15" t="s">
        <v>188</v>
      </c>
      <c r="CQ15" t="s">
        <v>188</v>
      </c>
      <c r="CR15">
        <v>77</v>
      </c>
      <c r="CS15">
        <v>0</v>
      </c>
      <c r="CX15">
        <v>0</v>
      </c>
      <c r="CY15">
        <v>0</v>
      </c>
      <c r="CZ15">
        <v>0</v>
      </c>
      <c r="DA15">
        <v>0</v>
      </c>
      <c r="DC15">
        <v>0</v>
      </c>
      <c r="DD15">
        <v>0</v>
      </c>
      <c r="DR15">
        <v>70</v>
      </c>
      <c r="EW15" t="s">
        <v>188</v>
      </c>
      <c r="EX15" t="s">
        <v>188</v>
      </c>
      <c r="EY15" t="s">
        <v>188</v>
      </c>
      <c r="EZ15" t="s">
        <v>188</v>
      </c>
      <c r="FA15">
        <v>4</v>
      </c>
      <c r="FB15" t="s">
        <v>188</v>
      </c>
      <c r="FC15" t="s">
        <v>681</v>
      </c>
      <c r="FD15" t="s">
        <v>682</v>
      </c>
      <c r="FE15">
        <v>1.11111111111111E+19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 t="s">
        <v>188</v>
      </c>
      <c r="GF15" t="s">
        <v>188</v>
      </c>
      <c r="GG15" t="s">
        <v>188</v>
      </c>
      <c r="GH15" s="1">
        <v>45321</v>
      </c>
      <c r="GJ15" t="s">
        <v>812</v>
      </c>
      <c r="GK15" t="s">
        <v>812</v>
      </c>
      <c r="GL15">
        <v>0</v>
      </c>
      <c r="GM15">
        <v>0</v>
      </c>
      <c r="GN15">
        <v>150</v>
      </c>
      <c r="GO15">
        <v>150</v>
      </c>
      <c r="GP15">
        <v>0</v>
      </c>
      <c r="GR15" s="1">
        <v>46160</v>
      </c>
      <c r="GV15" t="s">
        <v>188</v>
      </c>
      <c r="GW15" t="s">
        <v>188</v>
      </c>
      <c r="GX15" t="s">
        <v>188</v>
      </c>
      <c r="GY15" t="s">
        <v>188</v>
      </c>
      <c r="GZ15" t="s">
        <v>188</v>
      </c>
      <c r="HA15" t="s">
        <v>188</v>
      </c>
      <c r="HB15" t="s">
        <v>188</v>
      </c>
      <c r="HC15" t="s">
        <v>188</v>
      </c>
      <c r="HD15" t="s">
        <v>188</v>
      </c>
      <c r="HE15" t="s">
        <v>188</v>
      </c>
      <c r="HH15">
        <v>0</v>
      </c>
      <c r="HI15">
        <v>0</v>
      </c>
      <c r="HJ15">
        <v>57.4</v>
      </c>
      <c r="HK15">
        <v>31.93</v>
      </c>
      <c r="HL15">
        <v>66.8</v>
      </c>
      <c r="HN15" t="s">
        <v>188</v>
      </c>
      <c r="IS15">
        <v>0</v>
      </c>
      <c r="IT15">
        <v>0</v>
      </c>
      <c r="IU15">
        <v>0</v>
      </c>
      <c r="IV15">
        <v>0</v>
      </c>
      <c r="IW15">
        <v>0</v>
      </c>
      <c r="IX15" t="s">
        <v>846</v>
      </c>
      <c r="IY15">
        <v>0</v>
      </c>
      <c r="IZ15">
        <v>0</v>
      </c>
      <c r="JA15">
        <v>0</v>
      </c>
      <c r="JB15">
        <v>0</v>
      </c>
      <c r="JC15" t="s">
        <v>613</v>
      </c>
      <c r="JD15" t="s">
        <v>847</v>
      </c>
      <c r="JE15" t="s">
        <v>848</v>
      </c>
      <c r="JF15">
        <v>2</v>
      </c>
      <c r="JG15" t="s">
        <v>849</v>
      </c>
      <c r="JH15" t="s">
        <v>188</v>
      </c>
      <c r="JI15">
        <v>0</v>
      </c>
      <c r="JJ15">
        <v>0</v>
      </c>
      <c r="JK15">
        <v>65.36</v>
      </c>
      <c r="JL15">
        <v>0</v>
      </c>
      <c r="JM15">
        <v>1</v>
      </c>
    </row>
    <row r="16" spans="1:273" x14ac:dyDescent="0.3">
      <c r="A16" t="s">
        <v>850</v>
      </c>
      <c r="B16" t="s">
        <v>302</v>
      </c>
      <c r="C16" t="s">
        <v>340</v>
      </c>
      <c r="D16" t="s">
        <v>590</v>
      </c>
      <c r="E16" t="s">
        <v>836</v>
      </c>
      <c r="F16" t="s">
        <v>659</v>
      </c>
      <c r="G16" t="s">
        <v>837</v>
      </c>
      <c r="H16" t="s">
        <v>837</v>
      </c>
      <c r="I16" t="s">
        <v>302</v>
      </c>
      <c r="J16" t="s">
        <v>661</v>
      </c>
      <c r="N16">
        <v>2</v>
      </c>
      <c r="O16">
        <v>2</v>
      </c>
      <c r="P16">
        <v>1</v>
      </c>
      <c r="Q16">
        <v>7</v>
      </c>
      <c r="R16">
        <v>2</v>
      </c>
      <c r="S16">
        <v>0</v>
      </c>
      <c r="T16">
        <v>0</v>
      </c>
      <c r="U16">
        <v>0</v>
      </c>
      <c r="V16" t="s">
        <v>188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 t="s">
        <v>596</v>
      </c>
      <c r="AI16">
        <v>1</v>
      </c>
      <c r="AJ16" t="s">
        <v>199</v>
      </c>
      <c r="AK16">
        <v>1</v>
      </c>
      <c r="AL16">
        <v>20.2</v>
      </c>
      <c r="AM16">
        <v>87.9</v>
      </c>
      <c r="AN16">
        <v>0</v>
      </c>
      <c r="AO16">
        <v>0</v>
      </c>
      <c r="AP16">
        <v>0</v>
      </c>
      <c r="AQ16">
        <v>0</v>
      </c>
      <c r="AR16">
        <v>148.4</v>
      </c>
      <c r="AS16">
        <v>86.3</v>
      </c>
      <c r="AT16">
        <v>60.08</v>
      </c>
      <c r="AU16">
        <v>0</v>
      </c>
      <c r="AV16">
        <v>0</v>
      </c>
      <c r="AW16">
        <v>61.01</v>
      </c>
      <c r="AX16">
        <v>130.52000000000001</v>
      </c>
      <c r="AY16">
        <v>129.94999999999999</v>
      </c>
      <c r="AZ16">
        <v>2.38</v>
      </c>
      <c r="BA16">
        <v>148.4</v>
      </c>
      <c r="BB16">
        <v>0</v>
      </c>
      <c r="BC16">
        <v>13</v>
      </c>
      <c r="BD16">
        <v>258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1400</v>
      </c>
      <c r="BN16">
        <v>2000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2000</v>
      </c>
      <c r="BV16">
        <v>465</v>
      </c>
      <c r="BW16" t="s">
        <v>188</v>
      </c>
      <c r="BX16">
        <v>0</v>
      </c>
      <c r="BY16" t="s">
        <v>851</v>
      </c>
      <c r="CA16" t="s">
        <v>852</v>
      </c>
      <c r="CB16" t="s">
        <v>853</v>
      </c>
      <c r="CC16" t="s">
        <v>854</v>
      </c>
      <c r="CD16" t="s">
        <v>188</v>
      </c>
      <c r="CE16" t="s">
        <v>855</v>
      </c>
      <c r="CF16" t="s">
        <v>856</v>
      </c>
      <c r="CG16" t="s">
        <v>857</v>
      </c>
      <c r="CI16" t="s">
        <v>858</v>
      </c>
      <c r="CK16" t="s">
        <v>859</v>
      </c>
      <c r="CL16" t="s">
        <v>860</v>
      </c>
      <c r="CM16" t="s">
        <v>861</v>
      </c>
      <c r="CN16" t="s">
        <v>862</v>
      </c>
      <c r="CO16" t="s">
        <v>863</v>
      </c>
      <c r="CP16" t="s">
        <v>188</v>
      </c>
      <c r="CQ16" t="s">
        <v>188</v>
      </c>
      <c r="CR16">
        <v>30</v>
      </c>
      <c r="CS16">
        <v>0</v>
      </c>
      <c r="CX16">
        <v>0</v>
      </c>
      <c r="CY16">
        <v>0</v>
      </c>
      <c r="CZ16">
        <v>0</v>
      </c>
      <c r="DA16">
        <v>0</v>
      </c>
      <c r="DC16">
        <v>0</v>
      </c>
      <c r="DD16">
        <v>0</v>
      </c>
      <c r="EW16" t="s">
        <v>188</v>
      </c>
      <c r="EX16" t="s">
        <v>188</v>
      </c>
      <c r="EY16" t="s">
        <v>188</v>
      </c>
      <c r="EZ16" t="s">
        <v>188</v>
      </c>
      <c r="FA16">
        <v>4</v>
      </c>
      <c r="FB16" t="s">
        <v>188</v>
      </c>
      <c r="FC16" t="s">
        <v>681</v>
      </c>
      <c r="FD16" t="s">
        <v>682</v>
      </c>
      <c r="FE16">
        <v>1.1111111111111101E+31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 t="s">
        <v>188</v>
      </c>
      <c r="GF16" t="s">
        <v>188</v>
      </c>
      <c r="GG16" t="s">
        <v>188</v>
      </c>
      <c r="GH16" s="1">
        <v>45323</v>
      </c>
      <c r="GJ16" t="s">
        <v>812</v>
      </c>
      <c r="GK16" t="s">
        <v>812</v>
      </c>
      <c r="GL16">
        <v>0</v>
      </c>
      <c r="GM16">
        <v>0</v>
      </c>
      <c r="GN16">
        <v>150</v>
      </c>
      <c r="GO16">
        <v>150</v>
      </c>
      <c r="GP16">
        <v>0</v>
      </c>
      <c r="GR16" s="1">
        <v>45345</v>
      </c>
      <c r="GV16" t="s">
        <v>188</v>
      </c>
      <c r="GW16" t="s">
        <v>188</v>
      </c>
      <c r="GX16" t="s">
        <v>188</v>
      </c>
      <c r="GY16" t="s">
        <v>188</v>
      </c>
      <c r="GZ16" t="s">
        <v>188</v>
      </c>
      <c r="HA16" t="s">
        <v>188</v>
      </c>
      <c r="HB16" t="s">
        <v>188</v>
      </c>
      <c r="HC16" t="s">
        <v>188</v>
      </c>
      <c r="HD16" t="s">
        <v>188</v>
      </c>
      <c r="HE16" t="s">
        <v>188</v>
      </c>
      <c r="HH16">
        <v>0</v>
      </c>
      <c r="HI16">
        <v>0</v>
      </c>
      <c r="HJ16">
        <v>144.38</v>
      </c>
      <c r="HK16">
        <v>121.45</v>
      </c>
      <c r="HL16">
        <v>148.62</v>
      </c>
      <c r="HN16" t="s">
        <v>188</v>
      </c>
      <c r="IS16">
        <v>0</v>
      </c>
      <c r="IT16">
        <v>0</v>
      </c>
      <c r="IU16">
        <v>0</v>
      </c>
      <c r="IV16">
        <v>0</v>
      </c>
      <c r="IW16">
        <v>0</v>
      </c>
      <c r="IX16" t="s">
        <v>864</v>
      </c>
      <c r="IY16">
        <v>0</v>
      </c>
      <c r="IZ16">
        <v>0</v>
      </c>
      <c r="JA16">
        <v>0</v>
      </c>
      <c r="JB16">
        <v>0</v>
      </c>
      <c r="JC16" t="s">
        <v>613</v>
      </c>
      <c r="JD16" t="s">
        <v>865</v>
      </c>
      <c r="JE16" t="s">
        <v>866</v>
      </c>
      <c r="JF16">
        <v>2</v>
      </c>
      <c r="JG16" t="s">
        <v>867</v>
      </c>
      <c r="JH16" t="s">
        <v>188</v>
      </c>
      <c r="JI16">
        <v>0</v>
      </c>
      <c r="JJ16" t="s">
        <v>188</v>
      </c>
      <c r="JK16">
        <v>176.33</v>
      </c>
      <c r="JL16">
        <v>6.5</v>
      </c>
      <c r="JM16">
        <v>2</v>
      </c>
    </row>
    <row r="17" spans="1:273" x14ac:dyDescent="0.3">
      <c r="A17" t="s">
        <v>868</v>
      </c>
      <c r="B17" t="s">
        <v>302</v>
      </c>
      <c r="C17" t="s">
        <v>835</v>
      </c>
      <c r="D17" t="s">
        <v>590</v>
      </c>
      <c r="E17" t="s">
        <v>836</v>
      </c>
      <c r="F17" t="s">
        <v>659</v>
      </c>
      <c r="G17" t="s">
        <v>837</v>
      </c>
      <c r="H17" t="s">
        <v>837</v>
      </c>
      <c r="I17" t="s">
        <v>302</v>
      </c>
      <c r="J17" t="s">
        <v>661</v>
      </c>
      <c r="N17">
        <v>1</v>
      </c>
      <c r="O17">
        <v>1</v>
      </c>
      <c r="P17">
        <v>1</v>
      </c>
      <c r="Q17">
        <v>11</v>
      </c>
      <c r="R17">
        <v>2</v>
      </c>
      <c r="S17">
        <v>0</v>
      </c>
      <c r="T17">
        <v>0</v>
      </c>
      <c r="U17">
        <v>0</v>
      </c>
      <c r="V17" t="s">
        <v>188</v>
      </c>
      <c r="W17">
        <v>1</v>
      </c>
      <c r="X17">
        <v>0</v>
      </c>
      <c r="Y17">
        <v>0</v>
      </c>
      <c r="Z17">
        <v>1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 t="s">
        <v>869</v>
      </c>
      <c r="AI17">
        <v>0.2777</v>
      </c>
      <c r="AJ17" t="s">
        <v>199</v>
      </c>
      <c r="AK17">
        <v>1</v>
      </c>
      <c r="AL17">
        <v>100.6</v>
      </c>
      <c r="AM17">
        <v>486.1</v>
      </c>
      <c r="AN17">
        <v>0</v>
      </c>
      <c r="AO17">
        <v>0</v>
      </c>
      <c r="AP17">
        <v>0</v>
      </c>
      <c r="AQ17">
        <v>0</v>
      </c>
      <c r="AR17">
        <v>188.4</v>
      </c>
      <c r="AS17">
        <v>108.4</v>
      </c>
      <c r="AT17">
        <v>61.67</v>
      </c>
      <c r="AU17">
        <v>0</v>
      </c>
      <c r="AV17">
        <v>0</v>
      </c>
      <c r="AW17">
        <v>339.39</v>
      </c>
      <c r="AX17">
        <v>161.07</v>
      </c>
      <c r="AY17">
        <v>241.32</v>
      </c>
      <c r="AZ17">
        <v>3.14</v>
      </c>
      <c r="BA17">
        <v>188.4</v>
      </c>
      <c r="BB17">
        <v>0</v>
      </c>
      <c r="BC17">
        <v>14</v>
      </c>
      <c r="BD17">
        <v>260</v>
      </c>
      <c r="BE17">
        <v>0</v>
      </c>
      <c r="BF17">
        <v>0</v>
      </c>
      <c r="BG17">
        <v>0</v>
      </c>
      <c r="BH17">
        <v>0</v>
      </c>
      <c r="BI17">
        <v>435</v>
      </c>
      <c r="BJ17">
        <v>508</v>
      </c>
      <c r="BK17">
        <v>0</v>
      </c>
      <c r="BL17">
        <v>0</v>
      </c>
      <c r="BM17">
        <v>1200</v>
      </c>
      <c r="BN17">
        <v>2000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2000</v>
      </c>
      <c r="BV17">
        <v>508</v>
      </c>
      <c r="BW17" t="s">
        <v>188</v>
      </c>
      <c r="BX17">
        <v>0</v>
      </c>
      <c r="BY17" t="s">
        <v>868</v>
      </c>
      <c r="CA17">
        <v>2000</v>
      </c>
      <c r="CB17">
        <v>188.4</v>
      </c>
      <c r="CC17">
        <v>486.1</v>
      </c>
      <c r="CD17" t="s">
        <v>188</v>
      </c>
      <c r="CE17" t="s">
        <v>870</v>
      </c>
      <c r="CF17" t="s">
        <v>871</v>
      </c>
      <c r="CG17" t="s">
        <v>872</v>
      </c>
      <c r="CI17" t="s">
        <v>873</v>
      </c>
      <c r="CK17">
        <v>25</v>
      </c>
      <c r="CL17" t="s">
        <v>874</v>
      </c>
      <c r="CM17" t="s">
        <v>875</v>
      </c>
      <c r="CN17" t="s">
        <v>876</v>
      </c>
      <c r="CO17">
        <v>0</v>
      </c>
      <c r="CP17" t="s">
        <v>188</v>
      </c>
      <c r="CQ17" t="s">
        <v>188</v>
      </c>
      <c r="CR17">
        <v>35</v>
      </c>
      <c r="CS17">
        <v>0</v>
      </c>
      <c r="CX17">
        <v>0</v>
      </c>
      <c r="CY17">
        <v>0</v>
      </c>
      <c r="CZ17">
        <v>0</v>
      </c>
      <c r="DA17">
        <v>0</v>
      </c>
      <c r="DC17">
        <v>0</v>
      </c>
      <c r="DD17">
        <v>0</v>
      </c>
      <c r="EW17" t="s">
        <v>188</v>
      </c>
      <c r="EX17" t="s">
        <v>188</v>
      </c>
      <c r="EY17" t="s">
        <v>188</v>
      </c>
      <c r="EZ17" t="s">
        <v>188</v>
      </c>
      <c r="FA17">
        <v>4</v>
      </c>
      <c r="FB17" t="s">
        <v>188</v>
      </c>
      <c r="FC17" t="s">
        <v>681</v>
      </c>
      <c r="FD17" t="s">
        <v>682</v>
      </c>
      <c r="FE17">
        <v>1.11111111111111E+19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 t="s">
        <v>188</v>
      </c>
      <c r="GF17" t="s">
        <v>188</v>
      </c>
      <c r="GG17" t="s">
        <v>188</v>
      </c>
      <c r="GH17" s="1">
        <v>45327</v>
      </c>
      <c r="GJ17" t="s">
        <v>812</v>
      </c>
      <c r="GK17" t="s">
        <v>812</v>
      </c>
      <c r="GN17">
        <v>0</v>
      </c>
      <c r="GO17">
        <v>0</v>
      </c>
      <c r="GP17">
        <v>0</v>
      </c>
      <c r="GR17" s="1">
        <v>45345</v>
      </c>
      <c r="GV17" t="s">
        <v>188</v>
      </c>
      <c r="GW17" t="s">
        <v>188</v>
      </c>
      <c r="GX17" t="s">
        <v>188</v>
      </c>
      <c r="GY17" t="s">
        <v>188</v>
      </c>
      <c r="GZ17" t="s">
        <v>188</v>
      </c>
      <c r="HA17" t="s">
        <v>188</v>
      </c>
      <c r="HB17" t="s">
        <v>188</v>
      </c>
      <c r="HC17" t="s">
        <v>188</v>
      </c>
      <c r="HD17" t="s">
        <v>188</v>
      </c>
      <c r="HE17" t="s">
        <v>188</v>
      </c>
      <c r="HH17">
        <v>0</v>
      </c>
      <c r="HI17">
        <v>0</v>
      </c>
      <c r="HJ17">
        <v>187.19</v>
      </c>
      <c r="HK17">
        <v>141.91999999999999</v>
      </c>
      <c r="HL17">
        <v>266.39999999999998</v>
      </c>
      <c r="HN17" t="s">
        <v>188</v>
      </c>
      <c r="IS17">
        <v>0</v>
      </c>
      <c r="IT17">
        <v>0</v>
      </c>
      <c r="IU17">
        <v>0</v>
      </c>
      <c r="IV17">
        <v>0</v>
      </c>
      <c r="IW17">
        <v>0</v>
      </c>
      <c r="IX17" t="s">
        <v>877</v>
      </c>
      <c r="IY17">
        <v>0</v>
      </c>
      <c r="IZ17">
        <v>0</v>
      </c>
      <c r="JA17">
        <v>0</v>
      </c>
      <c r="JB17">
        <v>0</v>
      </c>
      <c r="JC17" t="s">
        <v>613</v>
      </c>
      <c r="JD17" t="s">
        <v>878</v>
      </c>
      <c r="JE17" t="s">
        <v>879</v>
      </c>
      <c r="JF17">
        <v>2</v>
      </c>
      <c r="JG17" t="s">
        <v>880</v>
      </c>
      <c r="JH17" t="s">
        <v>188</v>
      </c>
      <c r="JI17">
        <v>0</v>
      </c>
      <c r="JJ17" t="s">
        <v>188</v>
      </c>
      <c r="JK17">
        <v>300.13</v>
      </c>
      <c r="JL17">
        <v>0</v>
      </c>
      <c r="JM17">
        <v>1</v>
      </c>
    </row>
    <row r="18" spans="1:273" x14ac:dyDescent="0.3">
      <c r="A18" t="s">
        <v>881</v>
      </c>
      <c r="B18" t="s">
        <v>302</v>
      </c>
      <c r="C18" t="s">
        <v>340</v>
      </c>
      <c r="D18" t="s">
        <v>590</v>
      </c>
      <c r="E18" t="s">
        <v>836</v>
      </c>
      <c r="F18" t="s">
        <v>659</v>
      </c>
      <c r="G18" t="s">
        <v>837</v>
      </c>
      <c r="H18" t="s">
        <v>837</v>
      </c>
      <c r="I18" t="s">
        <v>302</v>
      </c>
      <c r="J18" t="s">
        <v>661</v>
      </c>
      <c r="N18">
        <v>1</v>
      </c>
      <c r="O18">
        <v>1</v>
      </c>
      <c r="P18">
        <v>1</v>
      </c>
      <c r="Q18">
        <v>10</v>
      </c>
      <c r="R18">
        <v>2</v>
      </c>
      <c r="S18">
        <v>0</v>
      </c>
      <c r="T18">
        <v>0</v>
      </c>
      <c r="U18">
        <v>0</v>
      </c>
      <c r="V18" t="s">
        <v>188</v>
      </c>
      <c r="W18">
        <v>1</v>
      </c>
      <c r="X18">
        <v>0</v>
      </c>
      <c r="Y18">
        <v>0</v>
      </c>
      <c r="Z18">
        <v>1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 t="s">
        <v>869</v>
      </c>
      <c r="AI18">
        <v>0.2777</v>
      </c>
      <c r="AJ18" t="s">
        <v>199</v>
      </c>
      <c r="AK18">
        <v>1</v>
      </c>
      <c r="AL18">
        <v>136.69999999999999</v>
      </c>
      <c r="AM18">
        <v>831.6</v>
      </c>
      <c r="AN18">
        <v>0</v>
      </c>
      <c r="AO18">
        <v>0</v>
      </c>
      <c r="AP18">
        <v>0</v>
      </c>
      <c r="AQ18">
        <v>0</v>
      </c>
      <c r="AR18">
        <v>114.3</v>
      </c>
      <c r="AS18">
        <v>78.3</v>
      </c>
      <c r="AT18">
        <v>70.52</v>
      </c>
      <c r="AU18">
        <v>0</v>
      </c>
      <c r="AV18">
        <v>0</v>
      </c>
      <c r="AW18">
        <v>694.64</v>
      </c>
      <c r="AX18">
        <v>91.91</v>
      </c>
      <c r="AY18">
        <v>246.48</v>
      </c>
      <c r="AZ18">
        <v>4.7699999999999996</v>
      </c>
      <c r="BA18">
        <v>114.3</v>
      </c>
      <c r="BB18">
        <v>0</v>
      </c>
      <c r="BC18">
        <v>30</v>
      </c>
      <c r="BD18">
        <v>272</v>
      </c>
      <c r="BE18">
        <v>0</v>
      </c>
      <c r="BF18">
        <v>0</v>
      </c>
      <c r="BG18">
        <v>0</v>
      </c>
      <c r="BH18">
        <v>0</v>
      </c>
      <c r="BI18">
        <v>440</v>
      </c>
      <c r="BJ18">
        <v>360</v>
      </c>
      <c r="BK18">
        <v>0</v>
      </c>
      <c r="BL18">
        <v>0</v>
      </c>
      <c r="BM18">
        <v>1200</v>
      </c>
      <c r="BN18">
        <v>2000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2000</v>
      </c>
      <c r="BV18">
        <v>440</v>
      </c>
      <c r="BW18" t="s">
        <v>188</v>
      </c>
      <c r="BX18">
        <v>0</v>
      </c>
      <c r="BY18" t="s">
        <v>881</v>
      </c>
      <c r="CA18">
        <v>2000</v>
      </c>
      <c r="CB18">
        <v>114.3</v>
      </c>
      <c r="CC18">
        <v>831.6</v>
      </c>
      <c r="CD18" t="s">
        <v>188</v>
      </c>
      <c r="CE18" t="s">
        <v>882</v>
      </c>
      <c r="CF18" t="s">
        <v>883</v>
      </c>
      <c r="CG18" t="s">
        <v>884</v>
      </c>
      <c r="CI18" t="s">
        <v>885</v>
      </c>
      <c r="CK18">
        <v>25</v>
      </c>
      <c r="CL18" t="s">
        <v>886</v>
      </c>
      <c r="CM18" t="s">
        <v>887</v>
      </c>
      <c r="CN18" t="s">
        <v>888</v>
      </c>
      <c r="CO18">
        <v>0</v>
      </c>
      <c r="CP18" t="s">
        <v>188</v>
      </c>
      <c r="CQ18" t="s">
        <v>188</v>
      </c>
      <c r="CR18">
        <v>65</v>
      </c>
      <c r="CS18">
        <v>0</v>
      </c>
      <c r="CX18">
        <v>0</v>
      </c>
      <c r="CY18">
        <v>0</v>
      </c>
      <c r="CZ18">
        <v>0</v>
      </c>
      <c r="DA18">
        <v>0</v>
      </c>
      <c r="DC18">
        <v>0</v>
      </c>
      <c r="DD18">
        <v>0</v>
      </c>
      <c r="EW18" t="s">
        <v>188</v>
      </c>
      <c r="EX18" t="s">
        <v>188</v>
      </c>
      <c r="EY18" t="s">
        <v>188</v>
      </c>
      <c r="EZ18" t="s">
        <v>188</v>
      </c>
      <c r="FA18">
        <v>4</v>
      </c>
      <c r="FB18" t="s">
        <v>188</v>
      </c>
      <c r="FC18" t="s">
        <v>681</v>
      </c>
      <c r="FD18" t="s">
        <v>682</v>
      </c>
      <c r="FE18">
        <v>1.11111111111111E+19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 t="s">
        <v>188</v>
      </c>
      <c r="GF18" t="s">
        <v>188</v>
      </c>
      <c r="GG18" t="s">
        <v>188</v>
      </c>
      <c r="GH18" s="1">
        <v>45327</v>
      </c>
      <c r="GJ18" t="s">
        <v>812</v>
      </c>
      <c r="GK18" t="s">
        <v>812</v>
      </c>
      <c r="GL18">
        <v>0</v>
      </c>
      <c r="GM18">
        <v>0</v>
      </c>
      <c r="GN18">
        <v>0</v>
      </c>
      <c r="GO18">
        <v>0</v>
      </c>
      <c r="GP18">
        <v>0</v>
      </c>
      <c r="GR18" s="1">
        <v>45345</v>
      </c>
      <c r="GV18" t="s">
        <v>188</v>
      </c>
      <c r="GW18" t="s">
        <v>188</v>
      </c>
      <c r="GX18" t="s">
        <v>188</v>
      </c>
      <c r="GY18" t="s">
        <v>188</v>
      </c>
      <c r="GZ18" t="s">
        <v>188</v>
      </c>
      <c r="HA18" t="s">
        <v>188</v>
      </c>
      <c r="HB18" t="s">
        <v>188</v>
      </c>
      <c r="HC18" t="s">
        <v>188</v>
      </c>
      <c r="HD18" t="s">
        <v>188</v>
      </c>
      <c r="HE18" t="s">
        <v>188</v>
      </c>
      <c r="HH18">
        <v>0</v>
      </c>
      <c r="HI18">
        <v>0</v>
      </c>
      <c r="HJ18">
        <v>112.8</v>
      </c>
      <c r="HK18">
        <v>78.94</v>
      </c>
      <c r="HL18">
        <v>273.25</v>
      </c>
      <c r="HN18" t="s">
        <v>188</v>
      </c>
      <c r="IS18">
        <v>0</v>
      </c>
      <c r="IT18">
        <v>0</v>
      </c>
      <c r="IU18">
        <v>0</v>
      </c>
      <c r="IV18">
        <v>0</v>
      </c>
      <c r="IW18">
        <v>0</v>
      </c>
      <c r="IX18" t="s">
        <v>889</v>
      </c>
      <c r="IY18">
        <v>0</v>
      </c>
      <c r="IZ18">
        <v>0</v>
      </c>
      <c r="JA18">
        <v>0</v>
      </c>
      <c r="JB18">
        <v>0</v>
      </c>
      <c r="JC18" t="s">
        <v>613</v>
      </c>
      <c r="JD18" t="s">
        <v>878</v>
      </c>
      <c r="JE18" t="s">
        <v>890</v>
      </c>
      <c r="JF18">
        <v>2</v>
      </c>
      <c r="JG18" t="s">
        <v>891</v>
      </c>
      <c r="JH18" t="s">
        <v>188</v>
      </c>
      <c r="JI18">
        <v>0</v>
      </c>
      <c r="JJ18" t="s">
        <v>188</v>
      </c>
      <c r="JK18">
        <v>272.73</v>
      </c>
      <c r="JL18">
        <v>0</v>
      </c>
      <c r="JM18">
        <v>1</v>
      </c>
    </row>
    <row r="19" spans="1:273" x14ac:dyDescent="0.3">
      <c r="A19" t="s">
        <v>892</v>
      </c>
      <c r="B19" t="s">
        <v>302</v>
      </c>
      <c r="C19" t="s">
        <v>835</v>
      </c>
      <c r="D19" t="s">
        <v>590</v>
      </c>
      <c r="E19" t="s">
        <v>836</v>
      </c>
      <c r="F19" t="s">
        <v>659</v>
      </c>
      <c r="G19" t="s">
        <v>837</v>
      </c>
      <c r="H19" t="s">
        <v>893</v>
      </c>
      <c r="I19" t="s">
        <v>302</v>
      </c>
      <c r="J19" t="s">
        <v>661</v>
      </c>
      <c r="N19">
        <v>1</v>
      </c>
      <c r="O19">
        <v>1</v>
      </c>
      <c r="P19">
        <v>1</v>
      </c>
      <c r="Q19">
        <v>11</v>
      </c>
      <c r="R19">
        <v>2</v>
      </c>
      <c r="S19">
        <v>0</v>
      </c>
      <c r="T19">
        <v>0</v>
      </c>
      <c r="U19">
        <v>0</v>
      </c>
      <c r="V19" t="s">
        <v>188</v>
      </c>
      <c r="W19">
        <v>1</v>
      </c>
      <c r="X19">
        <v>0</v>
      </c>
      <c r="Y19">
        <v>0</v>
      </c>
      <c r="Z19">
        <v>1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  <c r="AH19" t="s">
        <v>869</v>
      </c>
      <c r="AI19">
        <v>0.2777</v>
      </c>
      <c r="AJ19" t="s">
        <v>199</v>
      </c>
      <c r="AK19">
        <v>1</v>
      </c>
      <c r="AL19">
        <v>358.6</v>
      </c>
      <c r="AM19">
        <v>1224</v>
      </c>
      <c r="AN19">
        <v>0</v>
      </c>
      <c r="AO19">
        <v>0</v>
      </c>
      <c r="AP19">
        <v>0</v>
      </c>
      <c r="AQ19">
        <v>0</v>
      </c>
      <c r="AR19">
        <v>123.4</v>
      </c>
      <c r="AS19">
        <v>38.4</v>
      </c>
      <c r="AT19">
        <v>74.87</v>
      </c>
      <c r="AU19">
        <v>0</v>
      </c>
      <c r="AV19">
        <v>0</v>
      </c>
      <c r="AW19">
        <v>863.3</v>
      </c>
      <c r="AX19">
        <v>92.07</v>
      </c>
      <c r="AY19">
        <v>289.04000000000002</v>
      </c>
      <c r="AZ19">
        <v>3.6</v>
      </c>
      <c r="BA19">
        <v>123.4</v>
      </c>
      <c r="BB19">
        <v>0</v>
      </c>
      <c r="BC19">
        <v>33</v>
      </c>
      <c r="BD19">
        <v>375</v>
      </c>
      <c r="BE19">
        <v>0</v>
      </c>
      <c r="BF19">
        <v>0</v>
      </c>
      <c r="BG19">
        <v>0</v>
      </c>
      <c r="BH19">
        <v>0</v>
      </c>
      <c r="BI19">
        <v>360</v>
      </c>
      <c r="BJ19">
        <v>440</v>
      </c>
      <c r="BK19">
        <v>0</v>
      </c>
      <c r="BL19">
        <v>0</v>
      </c>
      <c r="BM19">
        <v>1200</v>
      </c>
      <c r="BN19">
        <v>2000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2000</v>
      </c>
      <c r="BV19">
        <v>440</v>
      </c>
      <c r="BW19" t="s">
        <v>188</v>
      </c>
      <c r="BX19">
        <v>0</v>
      </c>
      <c r="BY19" t="s">
        <v>892</v>
      </c>
      <c r="CA19">
        <v>2000</v>
      </c>
      <c r="CB19">
        <v>123.4</v>
      </c>
      <c r="CC19">
        <v>1224</v>
      </c>
      <c r="CD19" t="s">
        <v>188</v>
      </c>
      <c r="CE19" t="s">
        <v>894</v>
      </c>
      <c r="CF19" t="s">
        <v>895</v>
      </c>
      <c r="CG19" t="s">
        <v>896</v>
      </c>
      <c r="CI19" t="s">
        <v>897</v>
      </c>
      <c r="CK19">
        <v>100</v>
      </c>
      <c r="CL19" t="s">
        <v>898</v>
      </c>
      <c r="CM19" t="s">
        <v>899</v>
      </c>
      <c r="CN19" t="s">
        <v>900</v>
      </c>
      <c r="CO19">
        <v>0</v>
      </c>
      <c r="CP19" t="s">
        <v>188</v>
      </c>
      <c r="CQ19" t="s">
        <v>188</v>
      </c>
      <c r="CR19">
        <v>65</v>
      </c>
      <c r="CS19">
        <v>0</v>
      </c>
      <c r="CX19">
        <v>0</v>
      </c>
      <c r="CY19">
        <v>0</v>
      </c>
      <c r="CZ19">
        <v>0</v>
      </c>
      <c r="DA19">
        <v>0</v>
      </c>
      <c r="DC19">
        <v>0</v>
      </c>
      <c r="DD19">
        <v>0</v>
      </c>
      <c r="EW19" t="s">
        <v>188</v>
      </c>
      <c r="EX19" t="s">
        <v>188</v>
      </c>
      <c r="EY19" t="s">
        <v>188</v>
      </c>
      <c r="EZ19" t="s">
        <v>188</v>
      </c>
      <c r="FA19">
        <v>4</v>
      </c>
      <c r="FB19" t="s">
        <v>188</v>
      </c>
      <c r="FC19" t="s">
        <v>681</v>
      </c>
      <c r="FD19" t="s">
        <v>682</v>
      </c>
      <c r="FE19">
        <v>1.11111111111111E+19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8</v>
      </c>
      <c r="GB19">
        <v>4</v>
      </c>
      <c r="GC19">
        <v>1</v>
      </c>
      <c r="GD19">
        <v>2</v>
      </c>
      <c r="GE19" t="s">
        <v>188</v>
      </c>
      <c r="GF19" t="s">
        <v>188</v>
      </c>
      <c r="GG19" t="s">
        <v>188</v>
      </c>
      <c r="GH19" s="1">
        <v>45321</v>
      </c>
      <c r="GJ19" t="s">
        <v>812</v>
      </c>
      <c r="GK19" t="s">
        <v>812</v>
      </c>
      <c r="GL19">
        <v>0</v>
      </c>
      <c r="GM19">
        <v>0</v>
      </c>
      <c r="GN19">
        <v>0</v>
      </c>
      <c r="GO19">
        <v>0</v>
      </c>
      <c r="GP19">
        <v>0</v>
      </c>
      <c r="GR19" s="1">
        <v>45345</v>
      </c>
      <c r="GV19" t="s">
        <v>188</v>
      </c>
      <c r="GW19" t="s">
        <v>188</v>
      </c>
      <c r="GX19" t="s">
        <v>188</v>
      </c>
      <c r="GY19" t="s">
        <v>188</v>
      </c>
      <c r="GZ19" t="s">
        <v>188</v>
      </c>
      <c r="HA19" t="s">
        <v>188</v>
      </c>
      <c r="HB19" t="s">
        <v>188</v>
      </c>
      <c r="HC19" t="s">
        <v>188</v>
      </c>
      <c r="HD19" t="s">
        <v>188</v>
      </c>
      <c r="HE19" t="s">
        <v>188</v>
      </c>
      <c r="HH19">
        <v>0</v>
      </c>
      <c r="HI19">
        <v>0</v>
      </c>
      <c r="HJ19">
        <v>122.47</v>
      </c>
      <c r="HK19">
        <v>73.47</v>
      </c>
      <c r="HL19">
        <v>298.25</v>
      </c>
      <c r="HN19" t="s">
        <v>188</v>
      </c>
      <c r="IS19">
        <v>0</v>
      </c>
      <c r="IT19">
        <v>0</v>
      </c>
      <c r="IU19">
        <v>0</v>
      </c>
      <c r="IV19">
        <v>0</v>
      </c>
      <c r="IW19">
        <v>0</v>
      </c>
      <c r="IX19" t="s">
        <v>901</v>
      </c>
      <c r="IY19">
        <v>0</v>
      </c>
      <c r="IZ19">
        <v>0</v>
      </c>
      <c r="JA19">
        <v>0</v>
      </c>
      <c r="JB19">
        <v>0</v>
      </c>
      <c r="JC19" t="s">
        <v>613</v>
      </c>
      <c r="JD19" t="s">
        <v>878</v>
      </c>
      <c r="JE19" t="s">
        <v>902</v>
      </c>
      <c r="JF19">
        <v>2</v>
      </c>
      <c r="JG19" t="s">
        <v>903</v>
      </c>
      <c r="JH19" t="s">
        <v>188</v>
      </c>
      <c r="JI19">
        <v>0</v>
      </c>
      <c r="JJ19" t="s">
        <v>188</v>
      </c>
      <c r="JK19">
        <v>312.18</v>
      </c>
      <c r="JL19">
        <v>0</v>
      </c>
      <c r="JM19">
        <v>1</v>
      </c>
    </row>
    <row r="20" spans="1:273" x14ac:dyDescent="0.3">
      <c r="A20" t="s">
        <v>904</v>
      </c>
      <c r="B20" t="s">
        <v>302</v>
      </c>
      <c r="C20" t="s">
        <v>340</v>
      </c>
      <c r="D20" t="s">
        <v>590</v>
      </c>
      <c r="E20" t="s">
        <v>836</v>
      </c>
      <c r="F20" t="s">
        <v>659</v>
      </c>
      <c r="G20" t="s">
        <v>837</v>
      </c>
      <c r="H20" t="s">
        <v>837</v>
      </c>
      <c r="I20" t="s">
        <v>302</v>
      </c>
      <c r="J20" t="s">
        <v>661</v>
      </c>
      <c r="N20">
        <v>1</v>
      </c>
      <c r="O20">
        <v>1</v>
      </c>
      <c r="P20">
        <v>1</v>
      </c>
      <c r="Q20">
        <v>8</v>
      </c>
      <c r="R20">
        <v>2</v>
      </c>
      <c r="S20">
        <v>0</v>
      </c>
      <c r="T20">
        <v>0</v>
      </c>
      <c r="U20">
        <v>0</v>
      </c>
      <c r="V20" t="s">
        <v>188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 t="s">
        <v>869</v>
      </c>
      <c r="AI20">
        <v>0.2777</v>
      </c>
      <c r="AJ20" t="s">
        <v>199</v>
      </c>
      <c r="AK20">
        <v>1</v>
      </c>
      <c r="AL20">
        <v>233.2</v>
      </c>
      <c r="AM20">
        <v>1560</v>
      </c>
      <c r="AN20">
        <v>0</v>
      </c>
      <c r="AO20">
        <v>0</v>
      </c>
      <c r="AP20">
        <v>0</v>
      </c>
      <c r="AQ20">
        <v>276</v>
      </c>
      <c r="AR20">
        <v>109.4</v>
      </c>
      <c r="AS20">
        <v>10.4</v>
      </c>
      <c r="AT20">
        <v>81.22</v>
      </c>
      <c r="AU20">
        <v>0</v>
      </c>
      <c r="AV20">
        <v>0</v>
      </c>
      <c r="AW20">
        <v>1211.19</v>
      </c>
      <c r="AX20">
        <v>60.56</v>
      </c>
      <c r="AY20">
        <v>245.88</v>
      </c>
      <c r="AZ20">
        <v>6.36</v>
      </c>
      <c r="BA20">
        <v>109.4</v>
      </c>
      <c r="BB20">
        <v>0</v>
      </c>
      <c r="BC20">
        <v>48</v>
      </c>
      <c r="BD20">
        <v>261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1200</v>
      </c>
      <c r="BN20">
        <v>1800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1800</v>
      </c>
      <c r="BV20">
        <v>425</v>
      </c>
      <c r="BW20" t="s">
        <v>188</v>
      </c>
      <c r="BX20">
        <v>0</v>
      </c>
      <c r="BY20" t="s">
        <v>905</v>
      </c>
      <c r="CA20">
        <v>1800</v>
      </c>
      <c r="CB20">
        <v>109.4</v>
      </c>
      <c r="CC20">
        <v>1556</v>
      </c>
      <c r="CD20" t="s">
        <v>188</v>
      </c>
      <c r="CE20" t="s">
        <v>906</v>
      </c>
      <c r="CF20" t="s">
        <v>907</v>
      </c>
      <c r="CG20" t="s">
        <v>908</v>
      </c>
      <c r="CI20" t="s">
        <v>909</v>
      </c>
      <c r="CK20">
        <v>100</v>
      </c>
      <c r="CL20" t="s">
        <v>910</v>
      </c>
      <c r="CM20" t="s">
        <v>911</v>
      </c>
      <c r="CN20" t="s">
        <v>912</v>
      </c>
      <c r="CO20">
        <v>0</v>
      </c>
      <c r="CP20" t="s">
        <v>188</v>
      </c>
      <c r="CQ20" t="s">
        <v>188</v>
      </c>
      <c r="CR20">
        <v>89</v>
      </c>
      <c r="CS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EW20" t="s">
        <v>188</v>
      </c>
      <c r="EX20" t="s">
        <v>188</v>
      </c>
      <c r="EY20" t="s">
        <v>188</v>
      </c>
      <c r="EZ20" t="s">
        <v>188</v>
      </c>
      <c r="FA20">
        <v>4</v>
      </c>
      <c r="FB20" t="s">
        <v>188</v>
      </c>
      <c r="FC20" t="s">
        <v>681</v>
      </c>
      <c r="FD20" t="s">
        <v>682</v>
      </c>
      <c r="FE20">
        <v>1111111111111110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 t="s">
        <v>188</v>
      </c>
      <c r="GF20" t="s">
        <v>188</v>
      </c>
      <c r="GG20" t="s">
        <v>188</v>
      </c>
      <c r="GH20" s="1">
        <v>45328</v>
      </c>
      <c r="GJ20" t="s">
        <v>812</v>
      </c>
      <c r="GK20" t="s">
        <v>812</v>
      </c>
      <c r="GN20">
        <v>0</v>
      </c>
      <c r="GO20">
        <v>0</v>
      </c>
      <c r="GP20">
        <v>0</v>
      </c>
      <c r="GR20" s="1">
        <v>45345</v>
      </c>
      <c r="GV20" t="s">
        <v>188</v>
      </c>
      <c r="GW20" t="s">
        <v>188</v>
      </c>
      <c r="GX20" t="s">
        <v>188</v>
      </c>
      <c r="GY20" t="s">
        <v>188</v>
      </c>
      <c r="GZ20" t="s">
        <v>188</v>
      </c>
      <c r="HA20" t="s">
        <v>188</v>
      </c>
      <c r="HB20" t="s">
        <v>188</v>
      </c>
      <c r="HC20" t="s">
        <v>188</v>
      </c>
      <c r="HD20" t="s">
        <v>188</v>
      </c>
      <c r="HE20" t="s">
        <v>188</v>
      </c>
      <c r="HH20">
        <v>0</v>
      </c>
      <c r="HI20">
        <v>0</v>
      </c>
      <c r="HJ20">
        <v>96.29</v>
      </c>
      <c r="HK20">
        <v>49.67</v>
      </c>
      <c r="HL20">
        <v>250.45</v>
      </c>
      <c r="HN20" t="s">
        <v>188</v>
      </c>
      <c r="IS20">
        <v>0</v>
      </c>
      <c r="IT20">
        <v>0</v>
      </c>
      <c r="IU20">
        <v>0</v>
      </c>
      <c r="IV20">
        <v>0</v>
      </c>
      <c r="IW20">
        <v>0</v>
      </c>
      <c r="IX20" t="s">
        <v>913</v>
      </c>
      <c r="IY20">
        <v>0</v>
      </c>
      <c r="IZ20">
        <v>0</v>
      </c>
      <c r="JA20">
        <v>0</v>
      </c>
      <c r="JB20">
        <v>0</v>
      </c>
      <c r="JC20" t="s">
        <v>613</v>
      </c>
      <c r="JD20" t="s">
        <v>914</v>
      </c>
      <c r="JE20" t="s">
        <v>915</v>
      </c>
      <c r="JF20">
        <v>2</v>
      </c>
      <c r="JG20" t="s">
        <v>916</v>
      </c>
      <c r="JH20" t="s">
        <v>188</v>
      </c>
      <c r="JI20">
        <v>0</v>
      </c>
      <c r="JJ20" t="s">
        <v>188</v>
      </c>
      <c r="JK20">
        <v>253.72</v>
      </c>
      <c r="JL20">
        <v>0</v>
      </c>
      <c r="JM20">
        <v>1</v>
      </c>
    </row>
    <row r="21" spans="1:273" x14ac:dyDescent="0.3">
      <c r="A21" t="s">
        <v>917</v>
      </c>
      <c r="B21" t="s">
        <v>302</v>
      </c>
      <c r="C21" t="s">
        <v>340</v>
      </c>
      <c r="D21" t="s">
        <v>590</v>
      </c>
      <c r="E21" t="s">
        <v>836</v>
      </c>
      <c r="F21" t="s">
        <v>659</v>
      </c>
      <c r="G21" t="s">
        <v>837</v>
      </c>
      <c r="H21" t="s">
        <v>837</v>
      </c>
      <c r="I21" t="s">
        <v>302</v>
      </c>
      <c r="J21" t="s">
        <v>661</v>
      </c>
      <c r="N21">
        <v>4</v>
      </c>
      <c r="O21">
        <v>4</v>
      </c>
      <c r="P21">
        <v>1</v>
      </c>
      <c r="Q21">
        <v>8</v>
      </c>
      <c r="R21">
        <v>2</v>
      </c>
      <c r="S21">
        <v>0</v>
      </c>
      <c r="T21">
        <v>0</v>
      </c>
      <c r="U21">
        <v>0</v>
      </c>
      <c r="V21" t="s">
        <v>188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 t="s">
        <v>869</v>
      </c>
      <c r="AI21">
        <v>0.2777</v>
      </c>
      <c r="AJ21" t="s">
        <v>199</v>
      </c>
      <c r="AK21">
        <v>1</v>
      </c>
      <c r="AL21">
        <v>233.2</v>
      </c>
      <c r="AM21">
        <v>1560</v>
      </c>
      <c r="AN21">
        <v>0</v>
      </c>
      <c r="AO21">
        <v>0</v>
      </c>
      <c r="AP21">
        <v>0</v>
      </c>
      <c r="AQ21">
        <v>0</v>
      </c>
      <c r="AR21">
        <v>109.4</v>
      </c>
      <c r="AS21">
        <v>10.4</v>
      </c>
      <c r="AT21">
        <v>81.22</v>
      </c>
      <c r="AU21">
        <v>0</v>
      </c>
      <c r="AV21">
        <v>0</v>
      </c>
      <c r="AW21">
        <v>1211.19</v>
      </c>
      <c r="AX21">
        <v>60.56</v>
      </c>
      <c r="AY21">
        <v>245.88</v>
      </c>
      <c r="AZ21">
        <v>6.36</v>
      </c>
      <c r="BA21">
        <v>109.4</v>
      </c>
      <c r="BB21">
        <v>0</v>
      </c>
      <c r="BC21">
        <v>48</v>
      </c>
      <c r="BD21">
        <v>261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1200</v>
      </c>
      <c r="BN21">
        <v>1800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1800</v>
      </c>
      <c r="BV21">
        <v>425</v>
      </c>
      <c r="BW21" t="s">
        <v>188</v>
      </c>
      <c r="BX21">
        <v>0</v>
      </c>
      <c r="BY21" t="s">
        <v>918</v>
      </c>
      <c r="CA21" t="s">
        <v>919</v>
      </c>
      <c r="CB21" t="s">
        <v>920</v>
      </c>
      <c r="CC21" t="s">
        <v>921</v>
      </c>
      <c r="CD21" t="s">
        <v>188</v>
      </c>
      <c r="CE21" t="s">
        <v>922</v>
      </c>
      <c r="CF21" t="s">
        <v>923</v>
      </c>
      <c r="CG21" t="s">
        <v>924</v>
      </c>
      <c r="CI21" t="s">
        <v>925</v>
      </c>
      <c r="CK21" t="s">
        <v>926</v>
      </c>
      <c r="CL21" t="s">
        <v>927</v>
      </c>
      <c r="CM21" t="s">
        <v>928</v>
      </c>
      <c r="CN21" t="s">
        <v>929</v>
      </c>
      <c r="CO21" t="s">
        <v>930</v>
      </c>
      <c r="CP21" t="s">
        <v>188</v>
      </c>
      <c r="CQ21" t="s">
        <v>188</v>
      </c>
      <c r="CR21">
        <v>0</v>
      </c>
      <c r="CS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EW21" t="s">
        <v>188</v>
      </c>
      <c r="EX21" t="s">
        <v>188</v>
      </c>
      <c r="EY21" t="s">
        <v>188</v>
      </c>
      <c r="EZ21" t="s">
        <v>188</v>
      </c>
      <c r="FA21">
        <v>4</v>
      </c>
      <c r="FB21" t="s">
        <v>188</v>
      </c>
      <c r="FC21" t="s">
        <v>681</v>
      </c>
      <c r="FD21" t="s">
        <v>682</v>
      </c>
      <c r="FE21">
        <v>1111111111111110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 t="s">
        <v>188</v>
      </c>
      <c r="GF21" t="s">
        <v>188</v>
      </c>
      <c r="GG21" t="s">
        <v>188</v>
      </c>
      <c r="GH21" s="1">
        <v>45341</v>
      </c>
      <c r="GJ21" t="s">
        <v>812</v>
      </c>
      <c r="GK21" t="s">
        <v>812</v>
      </c>
      <c r="GN21">
        <v>0</v>
      </c>
      <c r="GO21">
        <v>0</v>
      </c>
      <c r="GP21">
        <v>0</v>
      </c>
      <c r="GR21" s="1">
        <v>45345</v>
      </c>
      <c r="GV21" t="s">
        <v>188</v>
      </c>
      <c r="GW21" t="s">
        <v>188</v>
      </c>
      <c r="GX21" t="s">
        <v>188</v>
      </c>
      <c r="GY21" t="s">
        <v>188</v>
      </c>
      <c r="GZ21" t="s">
        <v>188</v>
      </c>
      <c r="HA21" t="s">
        <v>188</v>
      </c>
      <c r="HB21" t="s">
        <v>188</v>
      </c>
      <c r="HC21" t="s">
        <v>188</v>
      </c>
      <c r="HD21" t="s">
        <v>188</v>
      </c>
      <c r="HE21" t="s">
        <v>188</v>
      </c>
      <c r="HH21">
        <v>0</v>
      </c>
      <c r="HI21">
        <v>0</v>
      </c>
      <c r="HJ21">
        <v>101.96</v>
      </c>
      <c r="HK21">
        <v>49.67</v>
      </c>
      <c r="HL21">
        <v>250.45</v>
      </c>
      <c r="HN21" t="s">
        <v>188</v>
      </c>
      <c r="IS21">
        <v>0</v>
      </c>
      <c r="IT21">
        <v>0</v>
      </c>
      <c r="IU21">
        <v>0</v>
      </c>
      <c r="IV21">
        <v>0</v>
      </c>
      <c r="IW21">
        <v>0</v>
      </c>
      <c r="IX21" t="s">
        <v>931</v>
      </c>
      <c r="IY21">
        <v>0</v>
      </c>
      <c r="IZ21">
        <v>0</v>
      </c>
      <c r="JA21">
        <v>0</v>
      </c>
      <c r="JB21">
        <v>0</v>
      </c>
      <c r="JC21" t="s">
        <v>613</v>
      </c>
      <c r="JD21" t="s">
        <v>914</v>
      </c>
      <c r="JE21" t="s">
        <v>915</v>
      </c>
      <c r="JF21">
        <v>2</v>
      </c>
      <c r="JH21" t="s">
        <v>188</v>
      </c>
      <c r="JI21">
        <v>0</v>
      </c>
      <c r="JJ21" t="s">
        <v>188</v>
      </c>
      <c r="JK21">
        <v>253.72</v>
      </c>
      <c r="JL21">
        <v>9.1</v>
      </c>
      <c r="JM21">
        <v>4</v>
      </c>
    </row>
    <row r="22" spans="1:273" x14ac:dyDescent="0.3">
      <c r="A22" t="s">
        <v>932</v>
      </c>
      <c r="B22" t="s">
        <v>302</v>
      </c>
      <c r="C22" t="s">
        <v>835</v>
      </c>
      <c r="D22" t="s">
        <v>590</v>
      </c>
      <c r="E22" t="s">
        <v>836</v>
      </c>
      <c r="F22" t="s">
        <v>659</v>
      </c>
      <c r="G22" t="s">
        <v>837</v>
      </c>
      <c r="H22" t="s">
        <v>837</v>
      </c>
      <c r="I22" t="s">
        <v>302</v>
      </c>
      <c r="J22" t="s">
        <v>661</v>
      </c>
      <c r="N22">
        <v>2</v>
      </c>
      <c r="O22">
        <v>2</v>
      </c>
      <c r="P22">
        <v>1</v>
      </c>
      <c r="Q22">
        <v>7</v>
      </c>
      <c r="R22">
        <v>2</v>
      </c>
      <c r="S22">
        <v>0</v>
      </c>
      <c r="T22">
        <v>0</v>
      </c>
      <c r="U22">
        <v>0</v>
      </c>
      <c r="V22" t="s">
        <v>188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 t="s">
        <v>869</v>
      </c>
      <c r="AI22">
        <v>0.2777</v>
      </c>
      <c r="AJ22" t="s">
        <v>199</v>
      </c>
      <c r="AK22">
        <v>1</v>
      </c>
      <c r="AL22">
        <v>194.8</v>
      </c>
      <c r="AM22">
        <v>580.9</v>
      </c>
      <c r="AN22">
        <v>0</v>
      </c>
      <c r="AO22">
        <v>0</v>
      </c>
      <c r="AP22">
        <v>0</v>
      </c>
      <c r="AQ22">
        <v>0</v>
      </c>
      <c r="AR22">
        <v>152.69999999999999</v>
      </c>
      <c r="AS22">
        <v>115</v>
      </c>
      <c r="AT22">
        <v>68.83</v>
      </c>
      <c r="AU22">
        <v>0</v>
      </c>
      <c r="AV22">
        <v>0</v>
      </c>
      <c r="AW22">
        <v>506.12</v>
      </c>
      <c r="AX22">
        <v>122.17</v>
      </c>
      <c r="AY22">
        <v>244.58</v>
      </c>
      <c r="AZ22">
        <v>4.3600000000000003</v>
      </c>
      <c r="BA22">
        <v>153.4</v>
      </c>
      <c r="BB22">
        <v>0</v>
      </c>
      <c r="BC22">
        <v>21</v>
      </c>
      <c r="BD22">
        <v>261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1200</v>
      </c>
      <c r="BN22">
        <v>2100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2100</v>
      </c>
      <c r="BV22">
        <v>425</v>
      </c>
      <c r="BW22" t="s">
        <v>188</v>
      </c>
      <c r="BX22">
        <v>0</v>
      </c>
      <c r="BY22" t="s">
        <v>933</v>
      </c>
      <c r="CA22" t="s">
        <v>934</v>
      </c>
      <c r="CB22" t="s">
        <v>935</v>
      </c>
      <c r="CC22" t="s">
        <v>936</v>
      </c>
      <c r="CD22" t="s">
        <v>188</v>
      </c>
      <c r="CE22" t="s">
        <v>937</v>
      </c>
      <c r="CF22" t="s">
        <v>938</v>
      </c>
      <c r="CG22" t="s">
        <v>939</v>
      </c>
      <c r="CI22" t="s">
        <v>940</v>
      </c>
      <c r="CK22" t="s">
        <v>941</v>
      </c>
      <c r="CL22" t="s">
        <v>942</v>
      </c>
      <c r="CM22" t="s">
        <v>943</v>
      </c>
      <c r="CN22" t="s">
        <v>944</v>
      </c>
      <c r="CO22" t="s">
        <v>863</v>
      </c>
      <c r="CP22" t="s">
        <v>188</v>
      </c>
      <c r="CQ22" t="s">
        <v>188</v>
      </c>
      <c r="CR22">
        <v>76</v>
      </c>
      <c r="CS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EW22" t="s">
        <v>188</v>
      </c>
      <c r="EX22" t="s">
        <v>188</v>
      </c>
      <c r="EY22" t="s">
        <v>188</v>
      </c>
      <c r="EZ22" t="s">
        <v>188</v>
      </c>
      <c r="FA22">
        <v>4</v>
      </c>
      <c r="FB22" t="s">
        <v>188</v>
      </c>
      <c r="FC22" t="s">
        <v>681</v>
      </c>
      <c r="FD22" t="s">
        <v>682</v>
      </c>
      <c r="FE22">
        <v>1.1111111111111099E+23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 t="s">
        <v>188</v>
      </c>
      <c r="GF22" t="s">
        <v>188</v>
      </c>
      <c r="GG22" t="s">
        <v>188</v>
      </c>
      <c r="GH22" s="1">
        <v>45328</v>
      </c>
      <c r="GJ22" t="s">
        <v>812</v>
      </c>
      <c r="GK22" t="s">
        <v>812</v>
      </c>
      <c r="GN22">
        <v>0</v>
      </c>
      <c r="GO22">
        <v>0</v>
      </c>
      <c r="GP22">
        <v>0</v>
      </c>
      <c r="GR22" s="1">
        <v>45345</v>
      </c>
      <c r="GV22" t="s">
        <v>188</v>
      </c>
      <c r="GW22" t="s">
        <v>188</v>
      </c>
      <c r="GX22" t="s">
        <v>188</v>
      </c>
      <c r="GY22" t="s">
        <v>188</v>
      </c>
      <c r="GZ22" t="s">
        <v>188</v>
      </c>
      <c r="HA22" t="s">
        <v>188</v>
      </c>
      <c r="HB22" t="s">
        <v>188</v>
      </c>
      <c r="HC22" t="s">
        <v>188</v>
      </c>
      <c r="HD22" t="s">
        <v>188</v>
      </c>
      <c r="HE22" t="s">
        <v>188</v>
      </c>
      <c r="HH22">
        <v>0</v>
      </c>
      <c r="HI22">
        <v>0</v>
      </c>
      <c r="HJ22">
        <v>143.36000000000001</v>
      </c>
      <c r="HK22">
        <v>112.1</v>
      </c>
      <c r="HL22">
        <v>290.73</v>
      </c>
      <c r="HN22" t="s">
        <v>188</v>
      </c>
      <c r="IS22">
        <v>0</v>
      </c>
      <c r="IT22">
        <v>0</v>
      </c>
      <c r="IU22">
        <v>0</v>
      </c>
      <c r="IV22">
        <v>0</v>
      </c>
      <c r="IW22">
        <v>0</v>
      </c>
      <c r="IX22" t="s">
        <v>945</v>
      </c>
      <c r="IY22">
        <v>0</v>
      </c>
      <c r="IZ22">
        <v>0</v>
      </c>
      <c r="JA22">
        <v>0</v>
      </c>
      <c r="JB22">
        <v>0</v>
      </c>
      <c r="JC22" t="s">
        <v>613</v>
      </c>
      <c r="JD22" t="s">
        <v>946</v>
      </c>
      <c r="JE22" t="s">
        <v>947</v>
      </c>
      <c r="JF22">
        <v>2</v>
      </c>
      <c r="JG22" t="s">
        <v>948</v>
      </c>
      <c r="JH22" t="s">
        <v>188</v>
      </c>
      <c r="JI22">
        <v>0</v>
      </c>
      <c r="JJ22" t="s">
        <v>188</v>
      </c>
      <c r="JK22">
        <v>276.38</v>
      </c>
      <c r="JL22">
        <v>5.9</v>
      </c>
      <c r="JM22">
        <v>2</v>
      </c>
    </row>
    <row r="23" spans="1:273" x14ac:dyDescent="0.3">
      <c r="A23" t="s">
        <v>949</v>
      </c>
      <c r="B23" t="s">
        <v>302</v>
      </c>
      <c r="C23" t="s">
        <v>835</v>
      </c>
      <c r="D23" t="s">
        <v>590</v>
      </c>
      <c r="E23" t="s">
        <v>836</v>
      </c>
      <c r="F23" t="s">
        <v>659</v>
      </c>
      <c r="G23" t="s">
        <v>837</v>
      </c>
      <c r="H23" t="s">
        <v>837</v>
      </c>
      <c r="I23" t="s">
        <v>302</v>
      </c>
      <c r="J23" t="s">
        <v>661</v>
      </c>
      <c r="N23">
        <v>1</v>
      </c>
      <c r="O23">
        <v>1</v>
      </c>
      <c r="P23">
        <v>1</v>
      </c>
      <c r="Q23">
        <v>7</v>
      </c>
      <c r="R23">
        <v>2</v>
      </c>
      <c r="S23">
        <v>0</v>
      </c>
      <c r="T23">
        <v>0</v>
      </c>
      <c r="U23">
        <v>0</v>
      </c>
      <c r="V23" t="s">
        <v>188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H23" t="s">
        <v>869</v>
      </c>
      <c r="AI23">
        <v>0.2777</v>
      </c>
      <c r="AJ23" t="s">
        <v>199</v>
      </c>
      <c r="AK23">
        <v>1</v>
      </c>
      <c r="AL23">
        <v>169.2</v>
      </c>
      <c r="AM23">
        <v>516.9</v>
      </c>
      <c r="AN23">
        <v>0</v>
      </c>
      <c r="AO23">
        <v>0</v>
      </c>
      <c r="AP23">
        <v>0</v>
      </c>
      <c r="AQ23">
        <v>0</v>
      </c>
      <c r="AR23">
        <v>50.1</v>
      </c>
      <c r="AS23">
        <v>22.6</v>
      </c>
      <c r="AT23">
        <v>69.83</v>
      </c>
      <c r="AU23">
        <v>0</v>
      </c>
      <c r="AV23">
        <v>0</v>
      </c>
      <c r="AW23">
        <v>392.06</v>
      </c>
      <c r="AX23">
        <v>35.81</v>
      </c>
      <c r="AY23">
        <v>54.73</v>
      </c>
      <c r="AZ23">
        <v>6.03</v>
      </c>
      <c r="BA23">
        <v>50.1</v>
      </c>
      <c r="BB23">
        <v>0</v>
      </c>
      <c r="BC23">
        <v>50</v>
      </c>
      <c r="BD23">
        <v>189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1000</v>
      </c>
      <c r="BN23">
        <v>2200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2200</v>
      </c>
      <c r="BV23">
        <v>300</v>
      </c>
      <c r="BW23" t="s">
        <v>188</v>
      </c>
      <c r="BX23">
        <v>0</v>
      </c>
      <c r="BY23" t="s">
        <v>949</v>
      </c>
      <c r="CA23">
        <v>2200</v>
      </c>
      <c r="CB23">
        <v>50.1</v>
      </c>
      <c r="CC23">
        <v>516.9</v>
      </c>
      <c r="CD23" t="s">
        <v>188</v>
      </c>
      <c r="CE23" t="s">
        <v>950</v>
      </c>
      <c r="CF23" t="s">
        <v>951</v>
      </c>
      <c r="CG23" t="s">
        <v>952</v>
      </c>
      <c r="CI23" t="s">
        <v>953</v>
      </c>
      <c r="CK23">
        <v>25</v>
      </c>
      <c r="CL23" t="s">
        <v>954</v>
      </c>
      <c r="CM23" t="s">
        <v>955</v>
      </c>
      <c r="CN23" t="s">
        <v>956</v>
      </c>
      <c r="CO23">
        <v>0</v>
      </c>
      <c r="CP23" t="s">
        <v>188</v>
      </c>
      <c r="CQ23" t="s">
        <v>188</v>
      </c>
      <c r="CR23">
        <v>0</v>
      </c>
      <c r="CS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EW23" t="s">
        <v>188</v>
      </c>
      <c r="EX23" t="s">
        <v>188</v>
      </c>
      <c r="EY23" t="s">
        <v>188</v>
      </c>
      <c r="EZ23" t="s">
        <v>188</v>
      </c>
      <c r="FA23">
        <v>4</v>
      </c>
      <c r="FB23" t="s">
        <v>188</v>
      </c>
      <c r="FC23" t="s">
        <v>681</v>
      </c>
      <c r="FD23" t="s">
        <v>682</v>
      </c>
      <c r="FE23">
        <v>1.1111111111111099E+23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 t="s">
        <v>188</v>
      </c>
      <c r="GF23" t="s">
        <v>188</v>
      </c>
      <c r="GG23" t="s">
        <v>188</v>
      </c>
      <c r="GH23" s="1">
        <v>45328</v>
      </c>
      <c r="GJ23" t="s">
        <v>812</v>
      </c>
      <c r="GK23" t="s">
        <v>812</v>
      </c>
      <c r="GL23">
        <v>0</v>
      </c>
      <c r="GM23">
        <v>0</v>
      </c>
      <c r="GN23">
        <v>0</v>
      </c>
      <c r="GO23">
        <v>0</v>
      </c>
      <c r="GP23">
        <v>0</v>
      </c>
      <c r="GR23" s="1">
        <v>45344</v>
      </c>
      <c r="GV23" t="s">
        <v>188</v>
      </c>
      <c r="GW23" t="s">
        <v>188</v>
      </c>
      <c r="GX23" t="s">
        <v>188</v>
      </c>
      <c r="GY23" t="s">
        <v>188</v>
      </c>
      <c r="GZ23" t="s">
        <v>188</v>
      </c>
      <c r="HA23" t="s">
        <v>188</v>
      </c>
      <c r="HB23" t="s">
        <v>188</v>
      </c>
      <c r="HC23" t="s">
        <v>188</v>
      </c>
      <c r="HD23" t="s">
        <v>188</v>
      </c>
      <c r="HE23" t="s">
        <v>188</v>
      </c>
      <c r="HH23">
        <v>0</v>
      </c>
      <c r="HI23">
        <v>0</v>
      </c>
      <c r="HJ23">
        <v>44.61</v>
      </c>
      <c r="HK23">
        <v>29.1</v>
      </c>
      <c r="HL23">
        <v>57.92</v>
      </c>
      <c r="HN23" t="s">
        <v>188</v>
      </c>
      <c r="IS23">
        <v>0</v>
      </c>
      <c r="IT23">
        <v>0</v>
      </c>
      <c r="IU23">
        <v>0</v>
      </c>
      <c r="IV23">
        <v>0</v>
      </c>
      <c r="IW23">
        <v>0</v>
      </c>
      <c r="IX23" t="s">
        <v>957</v>
      </c>
      <c r="IY23">
        <v>0</v>
      </c>
      <c r="IZ23">
        <v>0</v>
      </c>
      <c r="JA23">
        <v>0</v>
      </c>
      <c r="JB23">
        <v>0</v>
      </c>
      <c r="JC23" t="s">
        <v>613</v>
      </c>
      <c r="JD23" t="s">
        <v>958</v>
      </c>
      <c r="JE23" t="s">
        <v>959</v>
      </c>
      <c r="JF23">
        <v>2</v>
      </c>
      <c r="JG23" t="s">
        <v>960</v>
      </c>
      <c r="JH23" t="s">
        <v>188</v>
      </c>
      <c r="JI23">
        <v>0</v>
      </c>
      <c r="JJ23" t="s">
        <v>188</v>
      </c>
      <c r="JK23">
        <v>57.83</v>
      </c>
      <c r="JL23">
        <v>0</v>
      </c>
      <c r="JM23">
        <v>1</v>
      </c>
    </row>
    <row r="24" spans="1:273" x14ac:dyDescent="0.3">
      <c r="A24" t="s">
        <v>961</v>
      </c>
      <c r="B24" t="s">
        <v>302</v>
      </c>
      <c r="C24" t="s">
        <v>835</v>
      </c>
      <c r="D24" t="s">
        <v>590</v>
      </c>
      <c r="E24" t="s">
        <v>836</v>
      </c>
      <c r="F24" t="s">
        <v>659</v>
      </c>
      <c r="G24" t="s">
        <v>837</v>
      </c>
      <c r="H24" t="s">
        <v>837</v>
      </c>
      <c r="I24" t="s">
        <v>302</v>
      </c>
      <c r="J24" t="s">
        <v>661</v>
      </c>
      <c r="N24">
        <v>4</v>
      </c>
      <c r="O24">
        <v>4</v>
      </c>
      <c r="P24">
        <v>1</v>
      </c>
      <c r="Q24">
        <v>7</v>
      </c>
      <c r="R24">
        <v>2</v>
      </c>
      <c r="S24">
        <v>0</v>
      </c>
      <c r="T24">
        <v>0</v>
      </c>
      <c r="U24">
        <v>0</v>
      </c>
      <c r="V24" t="s">
        <v>188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 t="s">
        <v>869</v>
      </c>
      <c r="AI24">
        <v>0.2777</v>
      </c>
      <c r="AJ24" t="s">
        <v>199</v>
      </c>
      <c r="AK24">
        <v>1</v>
      </c>
      <c r="AL24">
        <v>149</v>
      </c>
      <c r="AM24">
        <v>536.20000000000005</v>
      </c>
      <c r="AN24">
        <v>0</v>
      </c>
      <c r="AO24">
        <v>0</v>
      </c>
      <c r="AP24">
        <v>0</v>
      </c>
      <c r="AQ24">
        <v>0</v>
      </c>
      <c r="AR24">
        <v>37.4</v>
      </c>
      <c r="AS24">
        <v>7.9</v>
      </c>
      <c r="AT24">
        <v>79.22</v>
      </c>
      <c r="AU24">
        <v>0</v>
      </c>
      <c r="AV24">
        <v>0</v>
      </c>
      <c r="AW24">
        <v>364.61</v>
      </c>
      <c r="AX24">
        <v>21.23</v>
      </c>
      <c r="AY24">
        <v>26.61</v>
      </c>
      <c r="AZ24">
        <v>4.41</v>
      </c>
      <c r="BA24">
        <v>37.4</v>
      </c>
      <c r="BB24">
        <v>0</v>
      </c>
      <c r="BC24">
        <v>64</v>
      </c>
      <c r="BD24">
        <v>209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1400</v>
      </c>
      <c r="BN24">
        <v>2000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2000</v>
      </c>
      <c r="BV24">
        <v>250</v>
      </c>
      <c r="BW24" t="s">
        <v>188</v>
      </c>
      <c r="BX24">
        <v>0</v>
      </c>
      <c r="BY24" t="s">
        <v>962</v>
      </c>
      <c r="CA24" t="s">
        <v>963</v>
      </c>
      <c r="CB24" t="s">
        <v>964</v>
      </c>
      <c r="CC24" t="s">
        <v>965</v>
      </c>
      <c r="CD24" t="s">
        <v>188</v>
      </c>
      <c r="CE24" t="s">
        <v>966</v>
      </c>
      <c r="CF24" t="s">
        <v>967</v>
      </c>
      <c r="CG24" t="s">
        <v>968</v>
      </c>
      <c r="CI24" t="s">
        <v>969</v>
      </c>
      <c r="CK24" t="s">
        <v>970</v>
      </c>
      <c r="CL24" t="s">
        <v>971</v>
      </c>
      <c r="CM24" t="s">
        <v>972</v>
      </c>
      <c r="CN24" t="s">
        <v>973</v>
      </c>
      <c r="CO24" t="s">
        <v>930</v>
      </c>
      <c r="CP24" t="s">
        <v>188</v>
      </c>
      <c r="CQ24" t="s">
        <v>188</v>
      </c>
      <c r="CR24">
        <v>0</v>
      </c>
      <c r="CS24">
        <v>0</v>
      </c>
      <c r="CX24">
        <v>0</v>
      </c>
      <c r="CY24">
        <v>0</v>
      </c>
      <c r="CZ24">
        <v>0</v>
      </c>
      <c r="DA24">
        <v>0</v>
      </c>
      <c r="DC24">
        <v>0</v>
      </c>
      <c r="DD24">
        <v>0</v>
      </c>
      <c r="EW24" t="s">
        <v>188</v>
      </c>
      <c r="EX24" t="s">
        <v>188</v>
      </c>
      <c r="EY24" t="s">
        <v>188</v>
      </c>
      <c r="EZ24" t="s">
        <v>188</v>
      </c>
      <c r="FA24">
        <v>4</v>
      </c>
      <c r="FB24" t="s">
        <v>188</v>
      </c>
      <c r="FC24" t="s">
        <v>681</v>
      </c>
      <c r="FD24" t="s">
        <v>682</v>
      </c>
      <c r="FE24">
        <v>1111111111111110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40</v>
      </c>
      <c r="FW24">
        <v>1</v>
      </c>
      <c r="FX24">
        <v>2</v>
      </c>
      <c r="FY24">
        <v>8</v>
      </c>
      <c r="FZ24">
        <v>0</v>
      </c>
      <c r="GA24">
        <v>0</v>
      </c>
      <c r="GB24">
        <v>0</v>
      </c>
      <c r="GC24">
        <v>0</v>
      </c>
      <c r="GD24">
        <v>0</v>
      </c>
      <c r="GE24" t="s">
        <v>188</v>
      </c>
      <c r="GF24" t="s">
        <v>188</v>
      </c>
      <c r="GG24" t="s">
        <v>188</v>
      </c>
      <c r="GH24" s="1">
        <v>45328</v>
      </c>
      <c r="GJ24" t="s">
        <v>812</v>
      </c>
      <c r="GK24" t="s">
        <v>812</v>
      </c>
      <c r="GN24">
        <v>0</v>
      </c>
      <c r="GO24">
        <v>0</v>
      </c>
      <c r="GP24">
        <v>0</v>
      </c>
      <c r="GR24" s="1">
        <v>45344</v>
      </c>
      <c r="GV24" t="s">
        <v>188</v>
      </c>
      <c r="GW24" t="s">
        <v>188</v>
      </c>
      <c r="GX24" t="s">
        <v>188</v>
      </c>
      <c r="GY24" t="s">
        <v>188</v>
      </c>
      <c r="GZ24" t="s">
        <v>188</v>
      </c>
      <c r="HA24" t="s">
        <v>188</v>
      </c>
      <c r="HB24" t="s">
        <v>188</v>
      </c>
      <c r="HC24" t="s">
        <v>188</v>
      </c>
      <c r="HD24" t="s">
        <v>188</v>
      </c>
      <c r="HE24" t="s">
        <v>188</v>
      </c>
      <c r="HH24">
        <v>0</v>
      </c>
      <c r="HI24">
        <v>0</v>
      </c>
      <c r="HJ24">
        <v>30.62</v>
      </c>
      <c r="HK24">
        <v>16.920000000000002</v>
      </c>
      <c r="HL24">
        <v>27.13</v>
      </c>
      <c r="HN24" t="s">
        <v>188</v>
      </c>
      <c r="IS24">
        <v>0</v>
      </c>
      <c r="IT24">
        <v>0</v>
      </c>
      <c r="IU24">
        <v>0</v>
      </c>
      <c r="IV24">
        <v>0</v>
      </c>
      <c r="IW24">
        <v>0</v>
      </c>
      <c r="IX24" t="s">
        <v>974</v>
      </c>
      <c r="IY24">
        <v>0</v>
      </c>
      <c r="IZ24">
        <v>0</v>
      </c>
      <c r="JA24">
        <v>0</v>
      </c>
      <c r="JB24">
        <v>0</v>
      </c>
      <c r="JC24" t="s">
        <v>613</v>
      </c>
      <c r="JD24" t="s">
        <v>975</v>
      </c>
      <c r="JE24" t="s">
        <v>976</v>
      </c>
      <c r="JF24">
        <v>2</v>
      </c>
      <c r="JG24" t="s">
        <v>977</v>
      </c>
      <c r="JH24" t="s">
        <v>188</v>
      </c>
      <c r="JI24">
        <v>0</v>
      </c>
      <c r="JJ24" t="s">
        <v>188</v>
      </c>
      <c r="JK24">
        <v>28</v>
      </c>
      <c r="JL24">
        <v>8.3000000000000007</v>
      </c>
      <c r="JM24">
        <v>4</v>
      </c>
    </row>
    <row r="25" spans="1:273" x14ac:dyDescent="0.3">
      <c r="A25" t="s">
        <v>978</v>
      </c>
      <c r="B25" t="s">
        <v>302</v>
      </c>
      <c r="C25" t="s">
        <v>835</v>
      </c>
      <c r="D25" t="s">
        <v>590</v>
      </c>
      <c r="E25" t="s">
        <v>836</v>
      </c>
      <c r="F25" t="s">
        <v>659</v>
      </c>
      <c r="G25" t="s">
        <v>837</v>
      </c>
      <c r="H25" t="s">
        <v>837</v>
      </c>
      <c r="I25" t="s">
        <v>302</v>
      </c>
      <c r="J25" t="s">
        <v>661</v>
      </c>
      <c r="N25">
        <v>1</v>
      </c>
      <c r="O25">
        <v>1</v>
      </c>
      <c r="P25">
        <v>1</v>
      </c>
      <c r="Q25">
        <v>8</v>
      </c>
      <c r="R25">
        <v>2</v>
      </c>
      <c r="S25">
        <v>0</v>
      </c>
      <c r="T25">
        <v>0</v>
      </c>
      <c r="U25">
        <v>0</v>
      </c>
      <c r="V25" t="s">
        <v>188</v>
      </c>
      <c r="W25">
        <v>1</v>
      </c>
      <c r="X25">
        <v>0</v>
      </c>
      <c r="Y25">
        <v>0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0</v>
      </c>
      <c r="AG25">
        <v>0</v>
      </c>
      <c r="AH25" t="s">
        <v>596</v>
      </c>
      <c r="AI25">
        <v>1</v>
      </c>
      <c r="AJ25" t="s">
        <v>199</v>
      </c>
      <c r="AK25">
        <v>1</v>
      </c>
      <c r="AL25">
        <v>27.2</v>
      </c>
      <c r="AM25">
        <v>149.9</v>
      </c>
      <c r="AN25">
        <v>0</v>
      </c>
      <c r="AO25">
        <v>0</v>
      </c>
      <c r="AP25">
        <v>0</v>
      </c>
      <c r="AQ25">
        <v>288</v>
      </c>
      <c r="AR25">
        <v>184</v>
      </c>
      <c r="AS25">
        <v>140.69999999999999</v>
      </c>
      <c r="AT25">
        <v>73.34</v>
      </c>
      <c r="AU25">
        <v>0</v>
      </c>
      <c r="AV25">
        <v>0</v>
      </c>
      <c r="AW25">
        <v>128.86000000000001</v>
      </c>
      <c r="AX25">
        <v>152.94999999999999</v>
      </c>
      <c r="AY25">
        <v>263.47000000000003</v>
      </c>
      <c r="AZ25">
        <v>5.64</v>
      </c>
      <c r="BA25">
        <v>184</v>
      </c>
      <c r="BB25">
        <v>0</v>
      </c>
      <c r="BC25">
        <v>15</v>
      </c>
      <c r="BD25">
        <v>177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1400</v>
      </c>
      <c r="BN25">
        <v>1800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1800</v>
      </c>
      <c r="BV25">
        <v>560</v>
      </c>
      <c r="BW25" t="s">
        <v>188</v>
      </c>
      <c r="BX25">
        <v>0</v>
      </c>
      <c r="BY25" t="s">
        <v>979</v>
      </c>
      <c r="CA25">
        <v>1800</v>
      </c>
      <c r="CB25">
        <v>184</v>
      </c>
      <c r="CC25">
        <v>149.9</v>
      </c>
      <c r="CD25" t="s">
        <v>188</v>
      </c>
      <c r="CE25" t="s">
        <v>980</v>
      </c>
      <c r="CF25" t="s">
        <v>981</v>
      </c>
      <c r="CG25" t="s">
        <v>982</v>
      </c>
      <c r="CI25" t="s">
        <v>983</v>
      </c>
      <c r="CK25">
        <v>10</v>
      </c>
      <c r="CL25" t="s">
        <v>984</v>
      </c>
      <c r="CM25" t="s">
        <v>985</v>
      </c>
      <c r="CN25" t="s">
        <v>986</v>
      </c>
      <c r="CO25">
        <v>0</v>
      </c>
      <c r="CP25" t="s">
        <v>188</v>
      </c>
      <c r="CQ25" t="s">
        <v>188</v>
      </c>
      <c r="CR25">
        <v>43</v>
      </c>
      <c r="CS25">
        <v>0</v>
      </c>
      <c r="CX25">
        <v>0</v>
      </c>
      <c r="CY25">
        <v>0</v>
      </c>
      <c r="CZ25">
        <v>0</v>
      </c>
      <c r="DA25">
        <v>0</v>
      </c>
      <c r="DC25">
        <v>0</v>
      </c>
      <c r="DD25">
        <v>0</v>
      </c>
      <c r="EW25" t="s">
        <v>188</v>
      </c>
      <c r="EX25" t="s">
        <v>188</v>
      </c>
      <c r="EY25" t="s">
        <v>188</v>
      </c>
      <c r="EZ25" t="s">
        <v>188</v>
      </c>
      <c r="FA25">
        <v>4</v>
      </c>
      <c r="FB25" t="s">
        <v>188</v>
      </c>
      <c r="FC25" t="s">
        <v>681</v>
      </c>
      <c r="FD25" t="s">
        <v>682</v>
      </c>
      <c r="FE25">
        <v>1.11111111111111E+19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 t="s">
        <v>188</v>
      </c>
      <c r="GF25" t="s">
        <v>188</v>
      </c>
      <c r="GG25" t="s">
        <v>188</v>
      </c>
      <c r="GH25" s="1">
        <v>45322</v>
      </c>
      <c r="GJ25" t="s">
        <v>812</v>
      </c>
      <c r="GK25" t="s">
        <v>812</v>
      </c>
      <c r="GL25">
        <v>0</v>
      </c>
      <c r="GM25">
        <v>0</v>
      </c>
      <c r="GN25">
        <v>0</v>
      </c>
      <c r="GO25">
        <v>0</v>
      </c>
      <c r="GP25">
        <v>0</v>
      </c>
      <c r="GR25" s="1">
        <v>45341</v>
      </c>
      <c r="GV25" t="s">
        <v>188</v>
      </c>
      <c r="GW25" t="s">
        <v>188</v>
      </c>
      <c r="GX25" t="s">
        <v>188</v>
      </c>
      <c r="GY25" t="s">
        <v>188</v>
      </c>
      <c r="GZ25" t="s">
        <v>188</v>
      </c>
      <c r="HA25" t="s">
        <v>188</v>
      </c>
      <c r="HB25" t="s">
        <v>188</v>
      </c>
      <c r="HC25" t="s">
        <v>188</v>
      </c>
      <c r="HD25" t="s">
        <v>188</v>
      </c>
      <c r="HE25" t="s">
        <v>188</v>
      </c>
      <c r="HH25">
        <v>0</v>
      </c>
      <c r="HI25">
        <v>0</v>
      </c>
      <c r="HJ25">
        <v>180.17</v>
      </c>
      <c r="HK25">
        <v>136.80000000000001</v>
      </c>
      <c r="HL25">
        <v>320.02999999999997</v>
      </c>
      <c r="HN25" t="s">
        <v>188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987</v>
      </c>
      <c r="IY25">
        <v>0</v>
      </c>
      <c r="IZ25">
        <v>0</v>
      </c>
      <c r="JA25">
        <v>0</v>
      </c>
      <c r="JB25">
        <v>0</v>
      </c>
      <c r="JC25" t="s">
        <v>613</v>
      </c>
      <c r="JD25" t="s">
        <v>988</v>
      </c>
      <c r="JE25" t="s">
        <v>989</v>
      </c>
      <c r="JF25">
        <v>2</v>
      </c>
      <c r="JG25" t="s">
        <v>990</v>
      </c>
      <c r="JH25" t="s">
        <v>188</v>
      </c>
      <c r="JI25">
        <v>0</v>
      </c>
      <c r="JJ25" t="s">
        <v>188</v>
      </c>
      <c r="JK25">
        <v>303.20999999999998</v>
      </c>
      <c r="JL25">
        <v>0</v>
      </c>
      <c r="JM25">
        <v>1</v>
      </c>
    </row>
    <row r="26" spans="1:273" x14ac:dyDescent="0.3">
      <c r="A26" t="s">
        <v>991</v>
      </c>
      <c r="B26" t="s">
        <v>302</v>
      </c>
      <c r="C26" t="s">
        <v>340</v>
      </c>
      <c r="D26" t="s">
        <v>657</v>
      </c>
      <c r="E26" t="s">
        <v>703</v>
      </c>
      <c r="F26" t="s">
        <v>592</v>
      </c>
      <c r="G26">
        <v>3</v>
      </c>
      <c r="H26" t="s">
        <v>992</v>
      </c>
      <c r="I26" t="s">
        <v>594</v>
      </c>
      <c r="J26" t="s">
        <v>993</v>
      </c>
      <c r="L26" t="s">
        <v>703</v>
      </c>
      <c r="M26" s="4">
        <v>46177</v>
      </c>
      <c r="N26">
        <v>5</v>
      </c>
      <c r="O26">
        <v>5</v>
      </c>
      <c r="P26">
        <v>1</v>
      </c>
      <c r="Q26">
        <v>6</v>
      </c>
      <c r="R26">
        <v>2</v>
      </c>
      <c r="S26">
        <v>0</v>
      </c>
      <c r="T26">
        <v>0</v>
      </c>
      <c r="U26">
        <v>0</v>
      </c>
      <c r="V26" t="s">
        <v>188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 t="s">
        <v>188</v>
      </c>
      <c r="AD26">
        <v>0</v>
      </c>
      <c r="AE26">
        <v>0</v>
      </c>
      <c r="AF26">
        <v>0</v>
      </c>
      <c r="AG26">
        <v>0</v>
      </c>
      <c r="AH26" t="s">
        <v>596</v>
      </c>
      <c r="AI26">
        <v>1</v>
      </c>
      <c r="AJ26" t="s">
        <v>199</v>
      </c>
      <c r="AK26">
        <v>1</v>
      </c>
      <c r="AL26">
        <v>18</v>
      </c>
      <c r="AM26">
        <v>88</v>
      </c>
      <c r="AN26">
        <v>0</v>
      </c>
      <c r="AO26">
        <v>0</v>
      </c>
      <c r="AP26">
        <v>0</v>
      </c>
      <c r="AQ26">
        <v>66</v>
      </c>
      <c r="AR26">
        <v>55</v>
      </c>
      <c r="AS26">
        <v>5.5</v>
      </c>
      <c r="AT26">
        <v>53.7</v>
      </c>
      <c r="AU26">
        <v>0</v>
      </c>
      <c r="AV26">
        <v>0</v>
      </c>
      <c r="AW26">
        <v>63.19</v>
      </c>
      <c r="AX26">
        <v>23.08</v>
      </c>
      <c r="AY26">
        <v>24.1</v>
      </c>
      <c r="AZ26">
        <v>2.96</v>
      </c>
      <c r="BA26">
        <v>54.5</v>
      </c>
      <c r="BB26">
        <v>0</v>
      </c>
      <c r="BC26">
        <v>33</v>
      </c>
      <c r="BD26">
        <v>156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600</v>
      </c>
      <c r="BN26">
        <v>1400</v>
      </c>
      <c r="BO26">
        <v>0</v>
      </c>
      <c r="BP26">
        <v>0</v>
      </c>
      <c r="BQ26">
        <v>0</v>
      </c>
      <c r="BR26">
        <v>90</v>
      </c>
      <c r="BS26">
        <v>0</v>
      </c>
      <c r="BT26">
        <v>0</v>
      </c>
      <c r="BU26">
        <v>1400</v>
      </c>
      <c r="BV26">
        <v>378</v>
      </c>
      <c r="BW26" t="s">
        <v>188</v>
      </c>
      <c r="BX26">
        <v>0</v>
      </c>
      <c r="BY26" t="s">
        <v>994</v>
      </c>
      <c r="BZ26" t="s">
        <v>995</v>
      </c>
      <c r="CA26" t="s">
        <v>996</v>
      </c>
      <c r="CB26" t="s">
        <v>997</v>
      </c>
      <c r="CC26" t="s">
        <v>998</v>
      </c>
      <c r="CD26" t="s">
        <v>188</v>
      </c>
      <c r="CE26" t="s">
        <v>999</v>
      </c>
      <c r="CF26" t="s">
        <v>1000</v>
      </c>
      <c r="CG26" t="s">
        <v>1001</v>
      </c>
      <c r="CI26" t="s">
        <v>1002</v>
      </c>
      <c r="CK26" t="s">
        <v>1003</v>
      </c>
      <c r="CL26" t="s">
        <v>1004</v>
      </c>
      <c r="CM26" t="s">
        <v>1005</v>
      </c>
      <c r="CN26" t="s">
        <v>1006</v>
      </c>
      <c r="CO26" t="s">
        <v>995</v>
      </c>
      <c r="CP26" t="s">
        <v>188</v>
      </c>
      <c r="CQ26" t="s">
        <v>188</v>
      </c>
      <c r="CR26">
        <v>82</v>
      </c>
      <c r="CS26">
        <v>0</v>
      </c>
      <c r="CT26" t="s">
        <v>1007</v>
      </c>
      <c r="CU26" t="s">
        <v>738</v>
      </c>
      <c r="CV26" t="s">
        <v>1008</v>
      </c>
      <c r="CX26">
        <v>1030</v>
      </c>
      <c r="CY26">
        <v>1300</v>
      </c>
      <c r="CZ26">
        <v>1.5</v>
      </c>
      <c r="DA26">
        <v>0</v>
      </c>
      <c r="DB26" t="s">
        <v>1009</v>
      </c>
      <c r="DC26">
        <v>0</v>
      </c>
      <c r="DD26">
        <v>0</v>
      </c>
      <c r="DI26" t="s">
        <v>1010</v>
      </c>
      <c r="DJ26" t="s">
        <v>1011</v>
      </c>
      <c r="DK26">
        <v>100</v>
      </c>
      <c r="DQ26" t="s">
        <v>1012</v>
      </c>
      <c r="DR26">
        <v>60</v>
      </c>
      <c r="DS26" t="s">
        <v>1013</v>
      </c>
      <c r="DT26">
        <v>110</v>
      </c>
      <c r="DU26">
        <v>0</v>
      </c>
      <c r="DV26">
        <v>0</v>
      </c>
      <c r="DY26" t="s">
        <v>1014</v>
      </c>
      <c r="DZ26" t="s">
        <v>1014</v>
      </c>
      <c r="EA26" t="s">
        <v>1014</v>
      </c>
      <c r="EB26" t="s">
        <v>1015</v>
      </c>
      <c r="EC26" t="s">
        <v>1016</v>
      </c>
      <c r="ED26" t="s">
        <v>1017</v>
      </c>
      <c r="EE26" t="s">
        <v>1018</v>
      </c>
      <c r="EW26" t="s">
        <v>188</v>
      </c>
      <c r="EX26" t="s">
        <v>188</v>
      </c>
      <c r="EY26" t="s">
        <v>188</v>
      </c>
      <c r="EZ26" t="s">
        <v>188</v>
      </c>
      <c r="FA26">
        <v>4</v>
      </c>
      <c r="FB26" t="s">
        <v>188</v>
      </c>
      <c r="FC26" t="s">
        <v>681</v>
      </c>
      <c r="FD26" t="s">
        <v>682</v>
      </c>
      <c r="FE26">
        <v>1.11111111111111E+19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 t="s">
        <v>188</v>
      </c>
      <c r="GF26" t="s">
        <v>188</v>
      </c>
      <c r="GG26" t="s">
        <v>188</v>
      </c>
      <c r="GH26" t="s">
        <v>188</v>
      </c>
      <c r="GJ26">
        <v>0</v>
      </c>
      <c r="GK26" t="s">
        <v>1019</v>
      </c>
      <c r="GL26">
        <v>0</v>
      </c>
      <c r="GM26">
        <v>0</v>
      </c>
      <c r="GN26">
        <v>152.4</v>
      </c>
      <c r="GO26">
        <v>101.6</v>
      </c>
      <c r="GP26">
        <v>0</v>
      </c>
      <c r="GR26" s="1">
        <v>44729</v>
      </c>
      <c r="GV26" t="s">
        <v>188</v>
      </c>
      <c r="GW26" t="s">
        <v>188</v>
      </c>
      <c r="GX26" t="s">
        <v>188</v>
      </c>
      <c r="GY26" t="s">
        <v>188</v>
      </c>
      <c r="GZ26" t="s">
        <v>188</v>
      </c>
      <c r="HA26" t="s">
        <v>188</v>
      </c>
      <c r="HB26" t="s">
        <v>188</v>
      </c>
      <c r="HC26" t="s">
        <v>188</v>
      </c>
      <c r="HD26" t="s">
        <v>188</v>
      </c>
      <c r="HE26" t="s">
        <v>188</v>
      </c>
      <c r="HH26">
        <v>0</v>
      </c>
      <c r="HI26">
        <v>0</v>
      </c>
      <c r="HJ26">
        <v>52.63</v>
      </c>
      <c r="HK26">
        <v>47.09</v>
      </c>
      <c r="HL26">
        <v>65.66</v>
      </c>
      <c r="HN26" t="s">
        <v>188</v>
      </c>
      <c r="IS26">
        <v>0</v>
      </c>
      <c r="IT26">
        <v>0</v>
      </c>
      <c r="IU26">
        <v>0</v>
      </c>
      <c r="IV26">
        <v>0</v>
      </c>
      <c r="IW26">
        <v>0</v>
      </c>
      <c r="IX26" t="s">
        <v>1020</v>
      </c>
      <c r="IY26">
        <v>0</v>
      </c>
      <c r="IZ26">
        <v>0</v>
      </c>
      <c r="JA26">
        <v>0</v>
      </c>
      <c r="JB26">
        <v>0</v>
      </c>
      <c r="JC26" t="s">
        <v>613</v>
      </c>
      <c r="JD26" t="s">
        <v>1021</v>
      </c>
      <c r="JE26" t="s">
        <v>1022</v>
      </c>
      <c r="JF26">
        <v>2</v>
      </c>
      <c r="JG26" t="s">
        <v>1023</v>
      </c>
      <c r="JH26" t="s">
        <v>188</v>
      </c>
      <c r="JI26">
        <v>0</v>
      </c>
      <c r="JJ26" t="s">
        <v>188</v>
      </c>
      <c r="JK26">
        <v>77.25</v>
      </c>
      <c r="JL26">
        <v>5.8</v>
      </c>
      <c r="JM26">
        <v>3</v>
      </c>
    </row>
    <row r="27" spans="1:273" x14ac:dyDescent="0.3">
      <c r="A27" t="s">
        <v>1024</v>
      </c>
      <c r="B27" t="s">
        <v>302</v>
      </c>
      <c r="C27" t="s">
        <v>340</v>
      </c>
      <c r="D27" t="s">
        <v>657</v>
      </c>
      <c r="E27" t="s">
        <v>1025</v>
      </c>
      <c r="F27" t="s">
        <v>592</v>
      </c>
      <c r="G27">
        <v>3</v>
      </c>
      <c r="H27" t="s">
        <v>1026</v>
      </c>
      <c r="I27" t="s">
        <v>594</v>
      </c>
      <c r="J27" t="s">
        <v>993</v>
      </c>
      <c r="L27" t="s">
        <v>703</v>
      </c>
      <c r="M27" t="s">
        <v>1027</v>
      </c>
      <c r="N27">
        <v>6</v>
      </c>
      <c r="O27">
        <v>6</v>
      </c>
      <c r="P27">
        <v>1</v>
      </c>
      <c r="Q27">
        <v>7</v>
      </c>
      <c r="R27">
        <v>2</v>
      </c>
      <c r="S27">
        <v>0</v>
      </c>
      <c r="T27">
        <v>0</v>
      </c>
      <c r="U27">
        <v>0</v>
      </c>
      <c r="V27" t="s">
        <v>188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 t="s">
        <v>596</v>
      </c>
      <c r="AI27">
        <v>1</v>
      </c>
      <c r="AJ27" t="s">
        <v>199</v>
      </c>
      <c r="AK27">
        <v>1</v>
      </c>
      <c r="AL27">
        <v>85</v>
      </c>
      <c r="AM27">
        <v>295</v>
      </c>
      <c r="AN27">
        <v>0</v>
      </c>
      <c r="AO27">
        <v>0</v>
      </c>
      <c r="AP27">
        <v>0</v>
      </c>
      <c r="AQ27">
        <v>425</v>
      </c>
      <c r="AR27">
        <v>54</v>
      </c>
      <c r="AS27">
        <v>9.3000000000000007</v>
      </c>
      <c r="AT27">
        <v>64.03</v>
      </c>
      <c r="AU27">
        <v>0</v>
      </c>
      <c r="AV27">
        <v>0</v>
      </c>
      <c r="AW27">
        <v>256.13</v>
      </c>
      <c r="AX27">
        <v>44.4</v>
      </c>
      <c r="AY27">
        <v>174.13</v>
      </c>
      <c r="AZ27">
        <v>7.18</v>
      </c>
      <c r="BA27">
        <v>54</v>
      </c>
      <c r="BB27">
        <v>0</v>
      </c>
      <c r="BC27">
        <v>29</v>
      </c>
      <c r="BD27">
        <v>115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500</v>
      </c>
      <c r="BN27">
        <v>1000</v>
      </c>
      <c r="BO27">
        <v>0</v>
      </c>
      <c r="BP27">
        <v>0</v>
      </c>
      <c r="BQ27">
        <v>0</v>
      </c>
      <c r="BR27">
        <v>90</v>
      </c>
      <c r="BS27">
        <v>0</v>
      </c>
      <c r="BT27">
        <v>0</v>
      </c>
      <c r="BU27">
        <v>1000</v>
      </c>
      <c r="BV27">
        <v>533</v>
      </c>
      <c r="BW27" t="s">
        <v>188</v>
      </c>
      <c r="BX27">
        <v>0</v>
      </c>
      <c r="BY27" t="s">
        <v>1028</v>
      </c>
      <c r="BZ27" t="s">
        <v>1029</v>
      </c>
      <c r="CA27" t="s">
        <v>1030</v>
      </c>
      <c r="CB27" t="s">
        <v>1031</v>
      </c>
      <c r="CC27" t="s">
        <v>1032</v>
      </c>
      <c r="CD27" t="s">
        <v>188</v>
      </c>
      <c r="CE27" t="s">
        <v>1033</v>
      </c>
      <c r="CF27" t="s">
        <v>1034</v>
      </c>
      <c r="CG27" t="s">
        <v>1035</v>
      </c>
      <c r="CI27" t="s">
        <v>1036</v>
      </c>
      <c r="CK27" t="s">
        <v>1037</v>
      </c>
      <c r="CL27" t="s">
        <v>1038</v>
      </c>
      <c r="CM27" t="s">
        <v>1039</v>
      </c>
      <c r="CN27" t="s">
        <v>1040</v>
      </c>
      <c r="CO27" t="s">
        <v>1029</v>
      </c>
      <c r="CP27" t="s">
        <v>188</v>
      </c>
      <c r="CQ27" t="s">
        <v>188</v>
      </c>
      <c r="CR27">
        <v>178</v>
      </c>
      <c r="CS27">
        <v>0</v>
      </c>
      <c r="CT27" t="s">
        <v>1041</v>
      </c>
      <c r="CU27" t="s">
        <v>773</v>
      </c>
      <c r="CV27" t="s">
        <v>1042</v>
      </c>
      <c r="CX27">
        <v>1050</v>
      </c>
      <c r="CY27">
        <v>1575</v>
      </c>
      <c r="CZ27">
        <v>1.5</v>
      </c>
      <c r="DA27">
        <v>0</v>
      </c>
      <c r="DB27" t="s">
        <v>1043</v>
      </c>
      <c r="DC27">
        <v>0</v>
      </c>
      <c r="DD27">
        <v>0</v>
      </c>
      <c r="DI27" t="s">
        <v>1044</v>
      </c>
      <c r="DJ27" t="s">
        <v>1045</v>
      </c>
      <c r="DK27">
        <v>200</v>
      </c>
      <c r="DQ27" t="s">
        <v>773</v>
      </c>
      <c r="DR27">
        <v>260</v>
      </c>
      <c r="DS27" t="s">
        <v>1046</v>
      </c>
      <c r="DT27">
        <v>425</v>
      </c>
      <c r="DU27">
        <v>0</v>
      </c>
      <c r="DV27">
        <v>0</v>
      </c>
      <c r="EW27" t="s">
        <v>188</v>
      </c>
      <c r="EX27" t="s">
        <v>188</v>
      </c>
      <c r="EY27" t="s">
        <v>188</v>
      </c>
      <c r="EZ27" t="s">
        <v>188</v>
      </c>
      <c r="FA27">
        <v>3</v>
      </c>
      <c r="FB27" t="s">
        <v>188</v>
      </c>
      <c r="FC27" t="s">
        <v>681</v>
      </c>
      <c r="FD27" t="s">
        <v>682</v>
      </c>
      <c r="FE27">
        <v>1.1111111111111099E+23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 t="s">
        <v>188</v>
      </c>
      <c r="GF27" t="s">
        <v>188</v>
      </c>
      <c r="GG27" t="s">
        <v>188</v>
      </c>
      <c r="GH27" t="s">
        <v>188</v>
      </c>
      <c r="GI27" t="s">
        <v>608</v>
      </c>
      <c r="GJ27" t="s">
        <v>609</v>
      </c>
      <c r="GK27" t="s">
        <v>610</v>
      </c>
      <c r="GL27">
        <v>0</v>
      </c>
      <c r="GM27">
        <v>0</v>
      </c>
      <c r="GN27">
        <v>254</v>
      </c>
      <c r="GO27">
        <v>203.2</v>
      </c>
      <c r="GP27">
        <v>0</v>
      </c>
      <c r="GR27" s="1">
        <v>44876</v>
      </c>
      <c r="GV27" t="s">
        <v>188</v>
      </c>
      <c r="GW27" t="s">
        <v>188</v>
      </c>
      <c r="GX27" t="s">
        <v>188</v>
      </c>
      <c r="GY27" t="s">
        <v>188</v>
      </c>
      <c r="GZ27" t="s">
        <v>188</v>
      </c>
      <c r="HA27" t="s">
        <v>188</v>
      </c>
      <c r="HB27" t="s">
        <v>188</v>
      </c>
      <c r="HC27" t="s">
        <v>188</v>
      </c>
      <c r="HD27" t="s">
        <v>188</v>
      </c>
      <c r="HE27" t="s">
        <v>188</v>
      </c>
      <c r="HH27">
        <v>0</v>
      </c>
      <c r="HI27">
        <v>0</v>
      </c>
      <c r="HJ27">
        <v>51.09</v>
      </c>
      <c r="HK27">
        <v>39.43</v>
      </c>
      <c r="HL27">
        <v>191.94</v>
      </c>
      <c r="HN27" t="s">
        <v>188</v>
      </c>
      <c r="IS27">
        <v>0</v>
      </c>
      <c r="IT27">
        <v>0</v>
      </c>
      <c r="IU27">
        <v>0</v>
      </c>
      <c r="IV27">
        <v>0</v>
      </c>
      <c r="IW27">
        <v>0</v>
      </c>
      <c r="IX27" t="s">
        <v>1047</v>
      </c>
      <c r="IY27">
        <v>0</v>
      </c>
      <c r="IZ27">
        <v>0</v>
      </c>
      <c r="JA27">
        <v>0</v>
      </c>
      <c r="JB27">
        <v>0</v>
      </c>
      <c r="JC27" t="s">
        <v>613</v>
      </c>
      <c r="JD27" t="s">
        <v>1048</v>
      </c>
      <c r="JE27" t="s">
        <v>791</v>
      </c>
      <c r="JF27">
        <v>2</v>
      </c>
      <c r="JG27" t="s">
        <v>1049</v>
      </c>
      <c r="JH27" t="s">
        <v>188</v>
      </c>
      <c r="JI27">
        <v>0</v>
      </c>
      <c r="JJ27" t="s">
        <v>188</v>
      </c>
      <c r="JK27">
        <v>202.28</v>
      </c>
      <c r="JL27">
        <v>11.8</v>
      </c>
      <c r="JM27">
        <v>6</v>
      </c>
    </row>
    <row r="28" spans="1:273" x14ac:dyDescent="0.3">
      <c r="A28" t="s">
        <v>1050</v>
      </c>
      <c r="B28" t="s">
        <v>302</v>
      </c>
      <c r="C28" t="s">
        <v>340</v>
      </c>
      <c r="D28" t="s">
        <v>657</v>
      </c>
      <c r="E28" t="s">
        <v>1025</v>
      </c>
      <c r="F28" t="s">
        <v>592</v>
      </c>
      <c r="G28">
        <v>3</v>
      </c>
      <c r="H28" t="s">
        <v>1051</v>
      </c>
      <c r="I28" t="s">
        <v>594</v>
      </c>
      <c r="J28" t="s">
        <v>993</v>
      </c>
      <c r="L28" t="s">
        <v>703</v>
      </c>
      <c r="M28" t="s">
        <v>1052</v>
      </c>
      <c r="N28">
        <v>1</v>
      </c>
      <c r="O28">
        <v>1</v>
      </c>
      <c r="P28">
        <v>1</v>
      </c>
      <c r="Q28">
        <v>7</v>
      </c>
      <c r="R28">
        <v>2</v>
      </c>
      <c r="S28">
        <v>0</v>
      </c>
      <c r="T28">
        <v>0</v>
      </c>
      <c r="U28">
        <v>0</v>
      </c>
      <c r="V28" t="s">
        <v>188</v>
      </c>
      <c r="W28">
        <v>1</v>
      </c>
      <c r="X28">
        <v>0</v>
      </c>
      <c r="Y28">
        <v>0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 t="s">
        <v>869</v>
      </c>
      <c r="AI28">
        <v>0.2777</v>
      </c>
      <c r="AJ28" t="s">
        <v>199</v>
      </c>
      <c r="AK28">
        <v>1</v>
      </c>
      <c r="AL28">
        <v>122</v>
      </c>
      <c r="AM28">
        <v>809</v>
      </c>
      <c r="AN28">
        <v>0</v>
      </c>
      <c r="AO28">
        <v>0</v>
      </c>
      <c r="AP28">
        <v>0</v>
      </c>
      <c r="AQ28">
        <v>425</v>
      </c>
      <c r="AR28">
        <v>83</v>
      </c>
      <c r="AS28">
        <v>60.2</v>
      </c>
      <c r="AT28">
        <v>72.73</v>
      </c>
      <c r="AU28">
        <v>0</v>
      </c>
      <c r="AV28">
        <v>0</v>
      </c>
      <c r="AW28">
        <v>618.64</v>
      </c>
      <c r="AX28">
        <v>66.959999999999994</v>
      </c>
      <c r="AY28">
        <v>155.07</v>
      </c>
      <c r="AZ28">
        <v>8.4</v>
      </c>
      <c r="BA28">
        <v>83</v>
      </c>
      <c r="BB28">
        <v>0</v>
      </c>
      <c r="BC28">
        <v>12</v>
      </c>
      <c r="BD28">
        <v>59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350</v>
      </c>
      <c r="BN28">
        <v>700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700</v>
      </c>
      <c r="BV28">
        <v>667</v>
      </c>
      <c r="BW28" t="s">
        <v>188</v>
      </c>
      <c r="BX28">
        <v>0</v>
      </c>
      <c r="BY28" t="s">
        <v>1052</v>
      </c>
      <c r="CA28">
        <v>700</v>
      </c>
      <c r="CB28">
        <v>83</v>
      </c>
      <c r="CC28">
        <v>809</v>
      </c>
      <c r="CD28" t="s">
        <v>188</v>
      </c>
      <c r="CE28" t="s">
        <v>1053</v>
      </c>
      <c r="CF28" t="s">
        <v>1054</v>
      </c>
      <c r="CG28" t="s">
        <v>1055</v>
      </c>
      <c r="CI28" t="s">
        <v>1056</v>
      </c>
      <c r="CK28">
        <v>25</v>
      </c>
      <c r="CL28" t="s">
        <v>1057</v>
      </c>
      <c r="CM28" t="s">
        <v>1058</v>
      </c>
      <c r="CN28" t="s">
        <v>1059</v>
      </c>
      <c r="CO28">
        <v>0</v>
      </c>
      <c r="CP28" t="s">
        <v>188</v>
      </c>
      <c r="CQ28" t="s">
        <v>188</v>
      </c>
      <c r="CR28">
        <v>220</v>
      </c>
      <c r="CS28">
        <v>0</v>
      </c>
      <c r="CT28" t="s">
        <v>1060</v>
      </c>
      <c r="CX28">
        <v>0</v>
      </c>
      <c r="CY28">
        <v>500</v>
      </c>
      <c r="CZ28">
        <v>0</v>
      </c>
      <c r="DA28">
        <v>0</v>
      </c>
      <c r="DB28" t="s">
        <v>1061</v>
      </c>
      <c r="DC28">
        <v>0</v>
      </c>
      <c r="DD28">
        <v>0</v>
      </c>
      <c r="DI28" t="s">
        <v>1062</v>
      </c>
      <c r="DJ28" t="s">
        <v>1063</v>
      </c>
      <c r="DK28">
        <v>250</v>
      </c>
      <c r="DQ28" t="s">
        <v>773</v>
      </c>
      <c r="DR28">
        <v>260</v>
      </c>
      <c r="DS28" t="s">
        <v>1046</v>
      </c>
      <c r="DT28">
        <v>425</v>
      </c>
      <c r="DU28">
        <v>0</v>
      </c>
      <c r="DV28">
        <v>0</v>
      </c>
      <c r="EW28" t="s">
        <v>188</v>
      </c>
      <c r="EX28" t="s">
        <v>188</v>
      </c>
      <c r="EY28" t="s">
        <v>188</v>
      </c>
      <c r="EZ28" t="s">
        <v>188</v>
      </c>
      <c r="FA28">
        <v>4</v>
      </c>
      <c r="FB28" t="s">
        <v>188</v>
      </c>
      <c r="FC28" t="s">
        <v>681</v>
      </c>
      <c r="FD28" t="s">
        <v>682</v>
      </c>
      <c r="FE28">
        <v>1.1111111111111101E+31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 t="s">
        <v>188</v>
      </c>
      <c r="GF28" t="s">
        <v>188</v>
      </c>
      <c r="GG28" t="s">
        <v>188</v>
      </c>
      <c r="GH28" s="1">
        <v>44648</v>
      </c>
      <c r="GI28" t="s">
        <v>608</v>
      </c>
      <c r="GJ28" t="s">
        <v>609</v>
      </c>
      <c r="GK28" t="s">
        <v>610</v>
      </c>
      <c r="GL28">
        <v>0</v>
      </c>
      <c r="GM28">
        <v>0</v>
      </c>
      <c r="GN28">
        <v>304.8</v>
      </c>
      <c r="GO28">
        <v>254</v>
      </c>
      <c r="GP28">
        <v>0</v>
      </c>
      <c r="GQ28" t="s">
        <v>611</v>
      </c>
      <c r="GR28" s="1">
        <v>44965</v>
      </c>
      <c r="GV28" t="s">
        <v>188</v>
      </c>
      <c r="GW28" t="s">
        <v>188</v>
      </c>
      <c r="GX28" t="s">
        <v>188</v>
      </c>
      <c r="GY28" t="s">
        <v>188</v>
      </c>
      <c r="GZ28" t="s">
        <v>188</v>
      </c>
      <c r="HA28" t="s">
        <v>188</v>
      </c>
      <c r="HB28" t="s">
        <v>188</v>
      </c>
      <c r="HC28" t="s">
        <v>188</v>
      </c>
      <c r="HD28" t="s">
        <v>188</v>
      </c>
      <c r="HE28" t="s">
        <v>188</v>
      </c>
      <c r="HH28">
        <v>0</v>
      </c>
      <c r="HI28">
        <v>0</v>
      </c>
      <c r="HJ28">
        <v>80.760000000000005</v>
      </c>
      <c r="HK28">
        <v>62.63</v>
      </c>
      <c r="HL28">
        <v>176.47</v>
      </c>
      <c r="HN28" t="s">
        <v>188</v>
      </c>
      <c r="IS28">
        <v>73</v>
      </c>
      <c r="IT28">
        <v>625</v>
      </c>
      <c r="IU28">
        <v>67</v>
      </c>
      <c r="IV28">
        <v>0</v>
      </c>
      <c r="IW28">
        <v>0</v>
      </c>
      <c r="IX28" t="s">
        <v>1064</v>
      </c>
      <c r="IY28">
        <v>0</v>
      </c>
      <c r="IZ28">
        <v>0</v>
      </c>
      <c r="JA28">
        <v>0</v>
      </c>
      <c r="JB28">
        <v>0</v>
      </c>
      <c r="JC28" t="s">
        <v>613</v>
      </c>
      <c r="JD28" t="s">
        <v>1065</v>
      </c>
      <c r="JE28" t="s">
        <v>791</v>
      </c>
      <c r="JF28">
        <v>0</v>
      </c>
      <c r="JG28" t="s">
        <v>1066</v>
      </c>
      <c r="JH28" t="s">
        <v>188</v>
      </c>
      <c r="JI28">
        <v>0</v>
      </c>
      <c r="JJ28" t="s">
        <v>188</v>
      </c>
      <c r="JK28">
        <v>189.96</v>
      </c>
      <c r="JL28">
        <v>0</v>
      </c>
      <c r="JM28">
        <v>1</v>
      </c>
    </row>
    <row r="29" spans="1:273" x14ac:dyDescent="0.3">
      <c r="A29" t="s">
        <v>1067</v>
      </c>
      <c r="B29" t="s">
        <v>302</v>
      </c>
      <c r="C29" t="s">
        <v>340</v>
      </c>
      <c r="D29" t="s">
        <v>657</v>
      </c>
      <c r="E29" t="s">
        <v>1025</v>
      </c>
      <c r="F29" t="s">
        <v>592</v>
      </c>
      <c r="G29">
        <v>3</v>
      </c>
      <c r="H29" t="s">
        <v>1068</v>
      </c>
      <c r="I29" t="s">
        <v>594</v>
      </c>
      <c r="J29" t="s">
        <v>993</v>
      </c>
      <c r="L29" t="s">
        <v>703</v>
      </c>
      <c r="M29" t="s">
        <v>1069</v>
      </c>
      <c r="N29">
        <v>4</v>
      </c>
      <c r="O29">
        <v>4</v>
      </c>
      <c r="P29">
        <v>1</v>
      </c>
      <c r="Q29">
        <v>6</v>
      </c>
      <c r="R29">
        <v>2</v>
      </c>
      <c r="S29">
        <v>0</v>
      </c>
      <c r="T29">
        <v>0</v>
      </c>
      <c r="U29">
        <v>0</v>
      </c>
      <c r="V29" t="s">
        <v>188</v>
      </c>
      <c r="W29">
        <v>1</v>
      </c>
      <c r="X29">
        <v>0</v>
      </c>
      <c r="Y29">
        <v>0</v>
      </c>
      <c r="Z29">
        <v>1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 t="s">
        <v>596</v>
      </c>
      <c r="AI29">
        <v>1</v>
      </c>
      <c r="AJ29" t="s">
        <v>199</v>
      </c>
      <c r="AK29">
        <v>1</v>
      </c>
      <c r="AL29">
        <v>22</v>
      </c>
      <c r="AM29">
        <v>234</v>
      </c>
      <c r="AN29">
        <v>0</v>
      </c>
      <c r="AO29">
        <v>0</v>
      </c>
      <c r="AP29">
        <v>0</v>
      </c>
      <c r="AQ29">
        <v>225</v>
      </c>
      <c r="AR29">
        <v>56</v>
      </c>
      <c r="AS29">
        <v>4</v>
      </c>
      <c r="AT29">
        <v>65.59</v>
      </c>
      <c r="AU29">
        <v>0</v>
      </c>
      <c r="AV29">
        <v>0</v>
      </c>
      <c r="AW29">
        <v>136.68</v>
      </c>
      <c r="AX29">
        <v>42.68</v>
      </c>
      <c r="AY29">
        <v>87.2</v>
      </c>
      <c r="AZ29">
        <v>6.48</v>
      </c>
      <c r="BA29">
        <v>55.5</v>
      </c>
      <c r="BB29">
        <v>0</v>
      </c>
      <c r="BC29">
        <v>31</v>
      </c>
      <c r="BD29">
        <v>127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800</v>
      </c>
      <c r="BN29">
        <v>1400</v>
      </c>
      <c r="BO29">
        <v>0</v>
      </c>
      <c r="BP29">
        <v>0</v>
      </c>
      <c r="BQ29">
        <v>0</v>
      </c>
      <c r="BR29">
        <v>90</v>
      </c>
      <c r="BS29">
        <v>0</v>
      </c>
      <c r="BT29">
        <v>0</v>
      </c>
      <c r="BU29">
        <v>1400</v>
      </c>
      <c r="BV29">
        <v>381</v>
      </c>
      <c r="BW29" t="s">
        <v>188</v>
      </c>
      <c r="BX29">
        <v>0</v>
      </c>
      <c r="BY29" t="s">
        <v>1070</v>
      </c>
      <c r="BZ29" t="s">
        <v>930</v>
      </c>
      <c r="CA29" t="s">
        <v>1071</v>
      </c>
      <c r="CB29" t="s">
        <v>1072</v>
      </c>
      <c r="CC29" t="s">
        <v>1073</v>
      </c>
      <c r="CD29" t="s">
        <v>188</v>
      </c>
      <c r="CE29" t="s">
        <v>1074</v>
      </c>
      <c r="CF29" t="s">
        <v>1075</v>
      </c>
      <c r="CG29" t="s">
        <v>1076</v>
      </c>
      <c r="CI29" t="s">
        <v>1077</v>
      </c>
      <c r="CK29" t="s">
        <v>1078</v>
      </c>
      <c r="CL29" t="s">
        <v>1079</v>
      </c>
      <c r="CM29" t="s">
        <v>1080</v>
      </c>
      <c r="CN29" t="s">
        <v>1081</v>
      </c>
      <c r="CO29" t="s">
        <v>930</v>
      </c>
      <c r="CP29" t="s">
        <v>188</v>
      </c>
      <c r="CQ29" t="s">
        <v>188</v>
      </c>
      <c r="CR29">
        <v>127</v>
      </c>
      <c r="CS29">
        <v>0</v>
      </c>
      <c r="CT29" t="s">
        <v>1068</v>
      </c>
      <c r="CU29" t="s">
        <v>755</v>
      </c>
      <c r="CV29" t="s">
        <v>1082</v>
      </c>
      <c r="CX29">
        <v>500</v>
      </c>
      <c r="CY29">
        <v>750</v>
      </c>
      <c r="CZ29">
        <v>1.5</v>
      </c>
      <c r="DA29">
        <v>0</v>
      </c>
      <c r="DB29" t="s">
        <v>1083</v>
      </c>
      <c r="DC29">
        <v>0</v>
      </c>
      <c r="DD29">
        <v>0</v>
      </c>
      <c r="DE29" t="s">
        <v>1084</v>
      </c>
      <c r="DI29" t="s">
        <v>1085</v>
      </c>
      <c r="DJ29" t="s">
        <v>1086</v>
      </c>
      <c r="DK29">
        <v>150</v>
      </c>
      <c r="DQ29" t="s">
        <v>755</v>
      </c>
      <c r="DR29">
        <v>120</v>
      </c>
      <c r="DS29" t="s">
        <v>1087</v>
      </c>
      <c r="DT29">
        <v>225</v>
      </c>
      <c r="DU29">
        <v>0</v>
      </c>
      <c r="DV29">
        <v>0</v>
      </c>
      <c r="EW29" t="s">
        <v>188</v>
      </c>
      <c r="EX29" t="s">
        <v>188</v>
      </c>
      <c r="EY29" t="s">
        <v>188</v>
      </c>
      <c r="EZ29" t="s">
        <v>188</v>
      </c>
      <c r="FA29">
        <v>4</v>
      </c>
      <c r="FB29" t="s">
        <v>188</v>
      </c>
      <c r="FC29" t="s">
        <v>681</v>
      </c>
      <c r="FD29" t="s">
        <v>682</v>
      </c>
      <c r="FE29">
        <v>1.11111111111111E+27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 t="s">
        <v>188</v>
      </c>
      <c r="GF29" t="s">
        <v>188</v>
      </c>
      <c r="GG29" t="s">
        <v>188</v>
      </c>
      <c r="GH29" t="s">
        <v>188</v>
      </c>
      <c r="GI29" t="s">
        <v>608</v>
      </c>
      <c r="GJ29" t="s">
        <v>609</v>
      </c>
      <c r="GK29" t="s">
        <v>610</v>
      </c>
      <c r="GL29">
        <v>0</v>
      </c>
      <c r="GM29">
        <v>0</v>
      </c>
      <c r="GN29">
        <v>152.4</v>
      </c>
      <c r="GO29">
        <v>152.4</v>
      </c>
      <c r="GP29">
        <v>0</v>
      </c>
      <c r="GR29" s="1">
        <v>44971</v>
      </c>
      <c r="GV29" t="s">
        <v>188</v>
      </c>
      <c r="GW29" t="s">
        <v>188</v>
      </c>
      <c r="GX29" t="s">
        <v>188</v>
      </c>
      <c r="GY29" t="s">
        <v>188</v>
      </c>
      <c r="GZ29" t="s">
        <v>188</v>
      </c>
      <c r="HA29" t="s">
        <v>188</v>
      </c>
      <c r="HB29" t="s">
        <v>188</v>
      </c>
      <c r="HC29" t="s">
        <v>188</v>
      </c>
      <c r="HD29" t="s">
        <v>188</v>
      </c>
      <c r="HE29" t="s">
        <v>188</v>
      </c>
      <c r="HH29">
        <v>0</v>
      </c>
      <c r="HI29">
        <v>0</v>
      </c>
      <c r="HJ29">
        <v>50.05</v>
      </c>
      <c r="HK29">
        <v>37.630000000000003</v>
      </c>
      <c r="HL29">
        <v>96.16</v>
      </c>
      <c r="HN29" t="s">
        <v>188</v>
      </c>
      <c r="IS29">
        <v>0</v>
      </c>
      <c r="IT29">
        <v>0</v>
      </c>
      <c r="IU29">
        <v>0</v>
      </c>
      <c r="IV29">
        <v>0</v>
      </c>
      <c r="IW29">
        <v>0</v>
      </c>
      <c r="IX29" t="s">
        <v>1088</v>
      </c>
      <c r="IY29">
        <v>0</v>
      </c>
      <c r="IZ29">
        <v>0</v>
      </c>
      <c r="JA29">
        <v>0</v>
      </c>
      <c r="JB29">
        <v>0</v>
      </c>
      <c r="JC29" t="s">
        <v>613</v>
      </c>
      <c r="JD29" t="s">
        <v>1089</v>
      </c>
      <c r="JE29" t="s">
        <v>1090</v>
      </c>
      <c r="JF29">
        <v>2</v>
      </c>
      <c r="JG29" t="s">
        <v>1091</v>
      </c>
      <c r="JH29" t="s">
        <v>188</v>
      </c>
      <c r="JI29">
        <v>0</v>
      </c>
      <c r="JJ29" t="s">
        <v>188</v>
      </c>
      <c r="JK29">
        <v>127.4</v>
      </c>
      <c r="JL29">
        <v>14.2</v>
      </c>
      <c r="JM29">
        <v>4</v>
      </c>
    </row>
    <row r="30" spans="1:273" x14ac:dyDescent="0.3">
      <c r="A30" t="s">
        <v>1092</v>
      </c>
      <c r="B30" t="s">
        <v>302</v>
      </c>
      <c r="C30" t="s">
        <v>340</v>
      </c>
      <c r="D30" t="s">
        <v>657</v>
      </c>
      <c r="E30" t="s">
        <v>1025</v>
      </c>
      <c r="F30" t="s">
        <v>592</v>
      </c>
      <c r="G30">
        <v>3</v>
      </c>
      <c r="H30" t="s">
        <v>1093</v>
      </c>
      <c r="I30" t="s">
        <v>594</v>
      </c>
      <c r="J30" t="s">
        <v>993</v>
      </c>
      <c r="L30" t="s">
        <v>703</v>
      </c>
      <c r="M30" t="s">
        <v>1094</v>
      </c>
      <c r="N30">
        <v>4</v>
      </c>
      <c r="O30">
        <v>4</v>
      </c>
      <c r="P30">
        <v>1</v>
      </c>
      <c r="Q30">
        <v>11</v>
      </c>
      <c r="R30">
        <v>2</v>
      </c>
      <c r="S30">
        <v>0</v>
      </c>
      <c r="T30">
        <v>0</v>
      </c>
      <c r="U30">
        <v>0</v>
      </c>
      <c r="V30" t="s">
        <v>188</v>
      </c>
      <c r="W30">
        <v>1</v>
      </c>
      <c r="X30">
        <v>0</v>
      </c>
      <c r="Y30">
        <v>0</v>
      </c>
      <c r="Z30">
        <v>1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 t="s">
        <v>596</v>
      </c>
      <c r="AI30">
        <v>1</v>
      </c>
      <c r="AJ30" t="s">
        <v>199</v>
      </c>
      <c r="AK30">
        <v>1</v>
      </c>
      <c r="AL30">
        <v>22</v>
      </c>
      <c r="AM30">
        <v>234</v>
      </c>
      <c r="AN30">
        <v>0</v>
      </c>
      <c r="AO30">
        <v>0</v>
      </c>
      <c r="AP30">
        <v>0</v>
      </c>
      <c r="AQ30">
        <v>0</v>
      </c>
      <c r="AR30">
        <v>56</v>
      </c>
      <c r="AS30">
        <v>4</v>
      </c>
      <c r="AT30">
        <v>65.14</v>
      </c>
      <c r="AU30">
        <v>0</v>
      </c>
      <c r="AV30">
        <v>0</v>
      </c>
      <c r="AW30">
        <v>129.26</v>
      </c>
      <c r="AX30">
        <v>42.96</v>
      </c>
      <c r="AY30">
        <v>83.58</v>
      </c>
      <c r="AZ30">
        <v>6.24</v>
      </c>
      <c r="BA30">
        <v>55.8</v>
      </c>
      <c r="BB30">
        <v>0</v>
      </c>
      <c r="BC30">
        <v>30</v>
      </c>
      <c r="BD30">
        <v>127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800</v>
      </c>
      <c r="BN30">
        <v>1400</v>
      </c>
      <c r="BO30">
        <v>0</v>
      </c>
      <c r="BP30">
        <v>0</v>
      </c>
      <c r="BQ30">
        <v>0</v>
      </c>
      <c r="BR30">
        <v>90</v>
      </c>
      <c r="BS30">
        <v>0</v>
      </c>
      <c r="BT30">
        <v>0</v>
      </c>
      <c r="BU30">
        <v>1400</v>
      </c>
      <c r="BV30">
        <v>381</v>
      </c>
      <c r="BW30" t="s">
        <v>188</v>
      </c>
      <c r="BX30">
        <v>0</v>
      </c>
      <c r="BY30" t="s">
        <v>1095</v>
      </c>
      <c r="BZ30" t="s">
        <v>930</v>
      </c>
      <c r="CA30" t="s">
        <v>1071</v>
      </c>
      <c r="CB30" t="s">
        <v>1096</v>
      </c>
      <c r="CC30" t="s">
        <v>1097</v>
      </c>
      <c r="CD30" t="s">
        <v>188</v>
      </c>
      <c r="CE30" t="s">
        <v>1098</v>
      </c>
      <c r="CF30" t="s">
        <v>1099</v>
      </c>
      <c r="CG30" t="s">
        <v>1100</v>
      </c>
      <c r="CI30" t="s">
        <v>1101</v>
      </c>
      <c r="CK30" t="s">
        <v>1078</v>
      </c>
      <c r="CL30" t="s">
        <v>1102</v>
      </c>
      <c r="CM30" t="s">
        <v>1103</v>
      </c>
      <c r="CN30" t="s">
        <v>1104</v>
      </c>
      <c r="CO30" t="s">
        <v>930</v>
      </c>
      <c r="CP30" t="s">
        <v>188</v>
      </c>
      <c r="CQ30" t="s">
        <v>188</v>
      </c>
      <c r="CR30">
        <v>127</v>
      </c>
      <c r="CS30">
        <v>0</v>
      </c>
      <c r="CT30" t="s">
        <v>1105</v>
      </c>
      <c r="CU30" t="s">
        <v>755</v>
      </c>
      <c r="CV30" t="s">
        <v>1082</v>
      </c>
      <c r="CX30">
        <v>500</v>
      </c>
      <c r="CY30">
        <v>750</v>
      </c>
      <c r="CZ30">
        <v>1.5</v>
      </c>
      <c r="DA30">
        <v>0</v>
      </c>
      <c r="DB30" t="s">
        <v>1106</v>
      </c>
      <c r="DC30">
        <v>0</v>
      </c>
      <c r="DD30">
        <v>0</v>
      </c>
      <c r="DI30" t="s">
        <v>1107</v>
      </c>
      <c r="DJ30" t="s">
        <v>1108</v>
      </c>
      <c r="DK30" t="s">
        <v>1109</v>
      </c>
      <c r="DQ30" t="s">
        <v>755</v>
      </c>
      <c r="DR30">
        <v>120</v>
      </c>
      <c r="DS30" t="s">
        <v>1087</v>
      </c>
      <c r="DT30">
        <v>225</v>
      </c>
      <c r="EW30" t="s">
        <v>188</v>
      </c>
      <c r="EX30" t="s">
        <v>188</v>
      </c>
      <c r="EY30" t="s">
        <v>188</v>
      </c>
      <c r="EZ30" t="s">
        <v>188</v>
      </c>
      <c r="FA30">
        <v>4</v>
      </c>
      <c r="FB30" t="s">
        <v>188</v>
      </c>
      <c r="FC30" t="s">
        <v>681</v>
      </c>
      <c r="FD30" t="s">
        <v>682</v>
      </c>
      <c r="FE30">
        <v>1111111111111110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 t="s">
        <v>188</v>
      </c>
      <c r="GF30" t="s">
        <v>188</v>
      </c>
      <c r="GG30" t="s">
        <v>188</v>
      </c>
      <c r="GH30" t="s">
        <v>188</v>
      </c>
      <c r="GI30" t="s">
        <v>608</v>
      </c>
      <c r="GJ30" t="s">
        <v>609</v>
      </c>
      <c r="GK30" t="s">
        <v>1110</v>
      </c>
      <c r="GL30">
        <v>0</v>
      </c>
      <c r="GM30">
        <v>0</v>
      </c>
      <c r="GN30">
        <v>152.4</v>
      </c>
      <c r="GO30">
        <v>152.4</v>
      </c>
      <c r="GP30">
        <v>0</v>
      </c>
      <c r="GR30" s="1">
        <v>45586</v>
      </c>
      <c r="GV30" t="s">
        <v>188</v>
      </c>
      <c r="GW30" t="s">
        <v>188</v>
      </c>
      <c r="GX30" t="s">
        <v>188</v>
      </c>
      <c r="GY30" t="s">
        <v>188</v>
      </c>
      <c r="GZ30" t="s">
        <v>188</v>
      </c>
      <c r="HA30" t="s">
        <v>188</v>
      </c>
      <c r="HB30" t="s">
        <v>188</v>
      </c>
      <c r="HC30" t="s">
        <v>188</v>
      </c>
      <c r="HD30" t="s">
        <v>188</v>
      </c>
      <c r="HE30" t="s">
        <v>188</v>
      </c>
      <c r="HH30">
        <v>0</v>
      </c>
      <c r="HI30">
        <v>0</v>
      </c>
      <c r="HJ30">
        <v>52.67</v>
      </c>
      <c r="HK30">
        <v>39.11</v>
      </c>
      <c r="HL30">
        <v>94.06</v>
      </c>
      <c r="HN30" t="s">
        <v>188</v>
      </c>
      <c r="IS30">
        <v>0</v>
      </c>
      <c r="IT30">
        <v>0</v>
      </c>
      <c r="IU30">
        <v>0</v>
      </c>
      <c r="IV30">
        <v>0</v>
      </c>
      <c r="IW30">
        <v>0</v>
      </c>
      <c r="IX30" t="s">
        <v>1088</v>
      </c>
      <c r="IY30">
        <v>0</v>
      </c>
      <c r="IZ30">
        <v>0</v>
      </c>
      <c r="JA30">
        <v>0</v>
      </c>
      <c r="JB30">
        <v>0</v>
      </c>
      <c r="JC30" t="s">
        <v>613</v>
      </c>
      <c r="JD30" t="s">
        <v>1111</v>
      </c>
      <c r="JE30" t="s">
        <v>1112</v>
      </c>
      <c r="JF30">
        <v>2</v>
      </c>
      <c r="JG30" t="s">
        <v>1091</v>
      </c>
      <c r="JH30" t="s">
        <v>188</v>
      </c>
      <c r="JI30">
        <v>0</v>
      </c>
      <c r="JJ30" t="s">
        <v>188</v>
      </c>
      <c r="JK30">
        <v>128.81</v>
      </c>
      <c r="JL30">
        <v>14.2</v>
      </c>
      <c r="JM30">
        <v>4</v>
      </c>
    </row>
    <row r="31" spans="1:273" x14ac:dyDescent="0.3">
      <c r="A31" t="s">
        <v>1113</v>
      </c>
      <c r="B31" t="s">
        <v>302</v>
      </c>
      <c r="C31" t="s">
        <v>340</v>
      </c>
      <c r="D31" t="s">
        <v>590</v>
      </c>
      <c r="E31" t="s">
        <v>1114</v>
      </c>
      <c r="F31" t="s">
        <v>592</v>
      </c>
      <c r="G31">
        <v>5</v>
      </c>
      <c r="H31" t="s">
        <v>1115</v>
      </c>
      <c r="I31" t="s">
        <v>594</v>
      </c>
      <c r="J31" t="s">
        <v>993</v>
      </c>
      <c r="L31" t="s">
        <v>658</v>
      </c>
      <c r="M31" t="s">
        <v>1116</v>
      </c>
      <c r="N31">
        <v>1</v>
      </c>
      <c r="O31">
        <v>1</v>
      </c>
      <c r="P31">
        <v>1</v>
      </c>
      <c r="Q31">
        <v>8</v>
      </c>
      <c r="R31">
        <v>2</v>
      </c>
      <c r="S31">
        <v>0</v>
      </c>
      <c r="T31">
        <v>0</v>
      </c>
      <c r="U31">
        <v>0</v>
      </c>
      <c r="V31" t="s">
        <v>188</v>
      </c>
      <c r="W31">
        <v>1</v>
      </c>
      <c r="X31">
        <v>0</v>
      </c>
      <c r="Y31">
        <v>0</v>
      </c>
      <c r="Z31">
        <v>1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 t="s">
        <v>596</v>
      </c>
      <c r="AI31">
        <v>1</v>
      </c>
      <c r="AJ31" t="s">
        <v>199</v>
      </c>
      <c r="AK31">
        <v>1</v>
      </c>
      <c r="AL31">
        <v>2.8</v>
      </c>
      <c r="AM31">
        <v>15.6</v>
      </c>
      <c r="AN31">
        <v>0</v>
      </c>
      <c r="AO31">
        <v>0</v>
      </c>
      <c r="AP31">
        <v>0</v>
      </c>
      <c r="AQ31">
        <v>15</v>
      </c>
      <c r="AR31">
        <v>93</v>
      </c>
      <c r="AS31">
        <v>49.7</v>
      </c>
      <c r="AT31">
        <v>56.06</v>
      </c>
      <c r="AU31">
        <v>0</v>
      </c>
      <c r="AV31">
        <v>0</v>
      </c>
      <c r="AW31">
        <v>10.38</v>
      </c>
      <c r="AX31">
        <v>76.290000000000006</v>
      </c>
      <c r="AY31">
        <v>13.85</v>
      </c>
      <c r="AZ31">
        <v>6.93</v>
      </c>
      <c r="BA31">
        <v>93</v>
      </c>
      <c r="BB31">
        <v>0</v>
      </c>
      <c r="BC31">
        <v>17</v>
      </c>
      <c r="BD31">
        <v>105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1600</v>
      </c>
      <c r="BN31">
        <v>4400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4400</v>
      </c>
      <c r="BV31">
        <v>152</v>
      </c>
      <c r="BW31" t="s">
        <v>188</v>
      </c>
      <c r="BX31">
        <v>0</v>
      </c>
      <c r="BY31" t="s">
        <v>1116</v>
      </c>
      <c r="CA31">
        <v>4400</v>
      </c>
      <c r="CB31">
        <v>93</v>
      </c>
      <c r="CC31">
        <v>15.6</v>
      </c>
      <c r="CD31" t="s">
        <v>188</v>
      </c>
      <c r="CE31" t="s">
        <v>1117</v>
      </c>
      <c r="CF31" t="s">
        <v>1118</v>
      </c>
      <c r="CG31" t="s">
        <v>1119</v>
      </c>
      <c r="CI31" t="s">
        <v>1120</v>
      </c>
      <c r="CK31">
        <v>1</v>
      </c>
      <c r="CL31" t="s">
        <v>1121</v>
      </c>
      <c r="CM31" t="s">
        <v>1122</v>
      </c>
      <c r="CN31" t="s">
        <v>1123</v>
      </c>
      <c r="CO31">
        <v>0</v>
      </c>
      <c r="CP31" t="s">
        <v>188</v>
      </c>
      <c r="CQ31" t="s">
        <v>188</v>
      </c>
      <c r="CR31">
        <v>14</v>
      </c>
      <c r="CS31">
        <v>0</v>
      </c>
      <c r="CT31" t="s">
        <v>1124</v>
      </c>
      <c r="CX31">
        <v>0</v>
      </c>
      <c r="CY31">
        <v>0</v>
      </c>
      <c r="CZ31">
        <v>0</v>
      </c>
      <c r="DA31">
        <v>0</v>
      </c>
      <c r="DB31" t="s">
        <v>1125</v>
      </c>
      <c r="DC31">
        <v>0</v>
      </c>
      <c r="DD31">
        <v>0</v>
      </c>
      <c r="DI31" t="s">
        <v>1126</v>
      </c>
      <c r="DJ31" t="s">
        <v>1127</v>
      </c>
      <c r="DK31">
        <v>25</v>
      </c>
      <c r="DQ31" t="s">
        <v>1128</v>
      </c>
      <c r="DR31">
        <v>15</v>
      </c>
      <c r="EW31" t="s">
        <v>188</v>
      </c>
      <c r="EX31" t="s">
        <v>188</v>
      </c>
      <c r="EY31" t="s">
        <v>188</v>
      </c>
      <c r="EZ31" t="s">
        <v>188</v>
      </c>
      <c r="FA31">
        <v>4</v>
      </c>
      <c r="FB31" t="s">
        <v>188</v>
      </c>
      <c r="FC31" t="s">
        <v>681</v>
      </c>
      <c r="FD31" t="s">
        <v>682</v>
      </c>
      <c r="FE31">
        <v>1.1111111111111101E+31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 t="s">
        <v>188</v>
      </c>
      <c r="GF31" t="s">
        <v>188</v>
      </c>
      <c r="GG31" t="s">
        <v>188</v>
      </c>
      <c r="GH31" s="1">
        <v>44648</v>
      </c>
      <c r="GI31" t="s">
        <v>608</v>
      </c>
      <c r="GJ31" t="s">
        <v>609</v>
      </c>
      <c r="GK31" t="s">
        <v>812</v>
      </c>
      <c r="GL31">
        <v>0</v>
      </c>
      <c r="GM31">
        <v>0</v>
      </c>
      <c r="GN31">
        <v>38</v>
      </c>
      <c r="GO31">
        <v>25.4</v>
      </c>
      <c r="GP31">
        <v>0</v>
      </c>
      <c r="GQ31" t="s">
        <v>611</v>
      </c>
      <c r="GR31" s="1">
        <v>46181</v>
      </c>
      <c r="GV31" t="s">
        <v>188</v>
      </c>
      <c r="GW31" t="s">
        <v>188</v>
      </c>
      <c r="GX31" t="s">
        <v>188</v>
      </c>
      <c r="GY31" t="s">
        <v>188</v>
      </c>
      <c r="GZ31" t="s">
        <v>188</v>
      </c>
      <c r="HA31" t="s">
        <v>188</v>
      </c>
      <c r="HB31" t="s">
        <v>188</v>
      </c>
      <c r="HC31" t="s">
        <v>188</v>
      </c>
      <c r="HD31" t="s">
        <v>188</v>
      </c>
      <c r="HE31" t="s">
        <v>188</v>
      </c>
      <c r="HH31">
        <v>0</v>
      </c>
      <c r="HI31">
        <v>0</v>
      </c>
      <c r="HJ31">
        <v>90.96</v>
      </c>
      <c r="HK31">
        <v>67.81</v>
      </c>
      <c r="HL31">
        <v>15.18</v>
      </c>
      <c r="HM31" t="s">
        <v>1129</v>
      </c>
      <c r="HN31" s="1">
        <v>44817</v>
      </c>
      <c r="IS31">
        <v>0</v>
      </c>
      <c r="IT31">
        <v>0</v>
      </c>
      <c r="IU31">
        <v>0</v>
      </c>
      <c r="IV31">
        <v>0</v>
      </c>
      <c r="IW31">
        <v>0</v>
      </c>
      <c r="IX31" t="s">
        <v>1130</v>
      </c>
      <c r="IY31">
        <v>0</v>
      </c>
      <c r="IZ31">
        <v>0</v>
      </c>
      <c r="JA31">
        <v>0</v>
      </c>
      <c r="JB31">
        <v>0</v>
      </c>
      <c r="JC31" t="s">
        <v>613</v>
      </c>
      <c r="JD31" t="s">
        <v>1131</v>
      </c>
      <c r="JE31" t="s">
        <v>791</v>
      </c>
      <c r="JF31">
        <v>0</v>
      </c>
      <c r="JH31" t="s">
        <v>188</v>
      </c>
      <c r="JI31">
        <v>0</v>
      </c>
      <c r="JJ31">
        <v>0</v>
      </c>
      <c r="JK31">
        <v>16.89</v>
      </c>
      <c r="JL31">
        <v>0</v>
      </c>
      <c r="JM31">
        <v>1</v>
      </c>
    </row>
    <row r="32" spans="1:273" x14ac:dyDescent="0.3">
      <c r="A32" t="s">
        <v>1132</v>
      </c>
      <c r="B32" t="s">
        <v>302</v>
      </c>
      <c r="C32" t="s">
        <v>340</v>
      </c>
      <c r="D32" t="s">
        <v>590</v>
      </c>
      <c r="E32" t="s">
        <v>1114</v>
      </c>
      <c r="F32" t="s">
        <v>659</v>
      </c>
      <c r="G32">
        <v>3</v>
      </c>
      <c r="H32" t="s">
        <v>1133</v>
      </c>
      <c r="I32" t="s">
        <v>594</v>
      </c>
      <c r="J32" t="s">
        <v>993</v>
      </c>
      <c r="L32" t="s">
        <v>658</v>
      </c>
      <c r="M32" t="s">
        <v>1134</v>
      </c>
      <c r="N32">
        <v>1</v>
      </c>
      <c r="O32">
        <v>1</v>
      </c>
      <c r="P32">
        <v>1</v>
      </c>
      <c r="Q32">
        <v>9</v>
      </c>
      <c r="R32">
        <v>2</v>
      </c>
      <c r="S32">
        <v>0</v>
      </c>
      <c r="T32">
        <v>0</v>
      </c>
      <c r="U32">
        <v>0</v>
      </c>
      <c r="V32" t="s">
        <v>188</v>
      </c>
      <c r="W32">
        <v>1</v>
      </c>
      <c r="X32">
        <v>0</v>
      </c>
      <c r="Y32">
        <v>0</v>
      </c>
      <c r="Z32">
        <v>1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 t="s">
        <v>596</v>
      </c>
      <c r="AI32">
        <v>1</v>
      </c>
      <c r="AJ32" t="s">
        <v>199</v>
      </c>
      <c r="AK32">
        <v>1</v>
      </c>
      <c r="AL32">
        <v>1.7</v>
      </c>
      <c r="AM32">
        <v>9.8000000000000007</v>
      </c>
      <c r="AN32">
        <v>0</v>
      </c>
      <c r="AO32">
        <v>0</v>
      </c>
      <c r="AP32">
        <v>0</v>
      </c>
      <c r="AQ32">
        <v>15</v>
      </c>
      <c r="AR32">
        <v>49.2</v>
      </c>
      <c r="AS32">
        <v>32.4</v>
      </c>
      <c r="AT32">
        <v>50.16</v>
      </c>
      <c r="AU32">
        <v>0</v>
      </c>
      <c r="AV32">
        <v>0</v>
      </c>
      <c r="AW32">
        <v>7.72</v>
      </c>
      <c r="AX32">
        <v>39.090000000000003</v>
      </c>
      <c r="AY32">
        <v>5.9</v>
      </c>
      <c r="AZ32">
        <v>7.9</v>
      </c>
      <c r="BA32">
        <v>49.2</v>
      </c>
      <c r="BB32">
        <v>0</v>
      </c>
      <c r="BC32">
        <v>18</v>
      </c>
      <c r="BD32">
        <v>60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1400</v>
      </c>
      <c r="BN32">
        <v>3200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3200</v>
      </c>
      <c r="BV32">
        <v>152</v>
      </c>
      <c r="BW32" t="s">
        <v>188</v>
      </c>
      <c r="BX32">
        <v>0</v>
      </c>
      <c r="BY32" t="s">
        <v>1134</v>
      </c>
      <c r="CA32">
        <v>3200</v>
      </c>
      <c r="CB32">
        <v>49.2</v>
      </c>
      <c r="CC32">
        <v>9.8000000000000007</v>
      </c>
      <c r="CD32" t="s">
        <v>188</v>
      </c>
      <c r="CE32" t="s">
        <v>1135</v>
      </c>
      <c r="CF32" t="s">
        <v>1136</v>
      </c>
      <c r="CG32" t="s">
        <v>1137</v>
      </c>
      <c r="CI32" t="s">
        <v>1138</v>
      </c>
      <c r="CK32">
        <v>1</v>
      </c>
      <c r="CL32" t="s">
        <v>1139</v>
      </c>
      <c r="CM32" t="s">
        <v>1140</v>
      </c>
      <c r="CN32" t="s">
        <v>1141</v>
      </c>
      <c r="CO32">
        <v>0</v>
      </c>
      <c r="CP32" t="s">
        <v>188</v>
      </c>
      <c r="CQ32" t="s">
        <v>188</v>
      </c>
      <c r="CR32">
        <v>20</v>
      </c>
      <c r="CS32">
        <v>0</v>
      </c>
      <c r="CT32" t="s">
        <v>1142</v>
      </c>
      <c r="CX32">
        <v>0</v>
      </c>
      <c r="CY32">
        <v>2100</v>
      </c>
      <c r="CZ32">
        <v>0</v>
      </c>
      <c r="DA32">
        <v>0</v>
      </c>
      <c r="DB32" t="s">
        <v>1143</v>
      </c>
      <c r="DC32">
        <v>0</v>
      </c>
      <c r="DD32">
        <v>0</v>
      </c>
      <c r="DI32" t="s">
        <v>1126</v>
      </c>
      <c r="DJ32" t="s">
        <v>1144</v>
      </c>
      <c r="DK32">
        <v>25</v>
      </c>
      <c r="DQ32" t="s">
        <v>1128</v>
      </c>
      <c r="DR32">
        <v>15</v>
      </c>
      <c r="DS32">
        <v>0</v>
      </c>
      <c r="DT32">
        <v>0</v>
      </c>
      <c r="DU32">
        <v>0</v>
      </c>
      <c r="DV32">
        <v>0</v>
      </c>
      <c r="EW32" t="s">
        <v>188</v>
      </c>
      <c r="EX32" t="s">
        <v>188</v>
      </c>
      <c r="EY32" t="s">
        <v>188</v>
      </c>
      <c r="EZ32" t="s">
        <v>188</v>
      </c>
      <c r="FA32">
        <v>4</v>
      </c>
      <c r="FB32" t="s">
        <v>188</v>
      </c>
      <c r="FC32" t="s">
        <v>681</v>
      </c>
      <c r="FD32" t="s">
        <v>682</v>
      </c>
      <c r="FE32">
        <v>1.11111111111111E+27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 t="s">
        <v>188</v>
      </c>
      <c r="GF32" t="s">
        <v>188</v>
      </c>
      <c r="GG32" t="s">
        <v>188</v>
      </c>
      <c r="GH32" s="1">
        <v>44648</v>
      </c>
      <c r="GI32" t="s">
        <v>608</v>
      </c>
      <c r="GJ32" t="s">
        <v>609</v>
      </c>
      <c r="GK32" t="s">
        <v>610</v>
      </c>
      <c r="GL32">
        <v>0</v>
      </c>
      <c r="GM32">
        <v>0</v>
      </c>
      <c r="GN32">
        <v>38</v>
      </c>
      <c r="GO32">
        <v>25.4</v>
      </c>
      <c r="GP32">
        <v>0</v>
      </c>
      <c r="GQ32" t="s">
        <v>611</v>
      </c>
      <c r="GR32" s="1">
        <v>44986</v>
      </c>
      <c r="GV32" t="s">
        <v>188</v>
      </c>
      <c r="GW32" t="s">
        <v>188</v>
      </c>
      <c r="GX32" t="s">
        <v>188</v>
      </c>
      <c r="GY32" t="s">
        <v>188</v>
      </c>
      <c r="GZ32" t="s">
        <v>188</v>
      </c>
      <c r="HA32" t="s">
        <v>188</v>
      </c>
      <c r="HB32" t="s">
        <v>188</v>
      </c>
      <c r="HC32" t="s">
        <v>188</v>
      </c>
      <c r="HD32" t="s">
        <v>188</v>
      </c>
      <c r="HE32" t="s">
        <v>188</v>
      </c>
      <c r="HH32">
        <v>0</v>
      </c>
      <c r="HI32">
        <v>0</v>
      </c>
      <c r="HJ32">
        <v>49.08</v>
      </c>
      <c r="HK32">
        <v>34.409999999999997</v>
      </c>
      <c r="HL32">
        <v>6.59</v>
      </c>
      <c r="HN32" t="s">
        <v>188</v>
      </c>
      <c r="IS32">
        <v>0</v>
      </c>
      <c r="IT32">
        <v>0</v>
      </c>
      <c r="IU32">
        <v>0</v>
      </c>
      <c r="IV32">
        <v>0</v>
      </c>
      <c r="IW32">
        <v>0</v>
      </c>
      <c r="IX32" t="s">
        <v>1145</v>
      </c>
      <c r="IY32">
        <v>0</v>
      </c>
      <c r="IZ32">
        <v>0</v>
      </c>
      <c r="JA32">
        <v>0</v>
      </c>
      <c r="JB32">
        <v>0</v>
      </c>
      <c r="JC32" t="s">
        <v>613</v>
      </c>
      <c r="JD32" t="s">
        <v>1146</v>
      </c>
      <c r="JE32" t="s">
        <v>791</v>
      </c>
      <c r="JF32">
        <v>0</v>
      </c>
      <c r="JH32" t="s">
        <v>188</v>
      </c>
      <c r="JI32">
        <v>0</v>
      </c>
      <c r="JJ32" t="s">
        <v>188</v>
      </c>
      <c r="JK32">
        <v>6.92</v>
      </c>
      <c r="JL32">
        <v>0</v>
      </c>
      <c r="JM32">
        <v>1</v>
      </c>
    </row>
    <row r="33" spans="1:273" x14ac:dyDescent="0.3">
      <c r="A33" t="s">
        <v>1147</v>
      </c>
      <c r="B33" t="s">
        <v>302</v>
      </c>
      <c r="C33" t="s">
        <v>340</v>
      </c>
      <c r="D33" t="s">
        <v>657</v>
      </c>
      <c r="E33" t="s">
        <v>1114</v>
      </c>
      <c r="F33" t="s">
        <v>592</v>
      </c>
      <c r="G33">
        <v>5</v>
      </c>
      <c r="H33" t="s">
        <v>1148</v>
      </c>
      <c r="I33" t="s">
        <v>594</v>
      </c>
      <c r="J33" t="s">
        <v>661</v>
      </c>
      <c r="L33" t="s">
        <v>658</v>
      </c>
      <c r="M33" t="s">
        <v>1149</v>
      </c>
      <c r="N33">
        <v>4</v>
      </c>
      <c r="O33">
        <v>4</v>
      </c>
      <c r="P33">
        <v>1</v>
      </c>
      <c r="Q33">
        <v>8</v>
      </c>
      <c r="R33">
        <v>2</v>
      </c>
      <c r="S33">
        <v>0</v>
      </c>
      <c r="T33">
        <v>0</v>
      </c>
      <c r="U33">
        <v>0</v>
      </c>
      <c r="V33" t="s">
        <v>188</v>
      </c>
      <c r="W33">
        <v>1</v>
      </c>
      <c r="X33">
        <v>0</v>
      </c>
      <c r="Y33">
        <v>0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 t="s">
        <v>596</v>
      </c>
      <c r="AI33">
        <v>1</v>
      </c>
      <c r="AJ33" t="s">
        <v>199</v>
      </c>
      <c r="AK33">
        <v>1</v>
      </c>
      <c r="AL33">
        <v>120</v>
      </c>
      <c r="AM33">
        <v>600</v>
      </c>
      <c r="AN33">
        <v>0</v>
      </c>
      <c r="AO33">
        <v>0</v>
      </c>
      <c r="AP33">
        <v>0</v>
      </c>
      <c r="AQ33">
        <v>900</v>
      </c>
      <c r="AR33">
        <v>90.7</v>
      </c>
      <c r="AS33">
        <v>9</v>
      </c>
      <c r="AT33">
        <v>78.03</v>
      </c>
      <c r="AU33">
        <v>0</v>
      </c>
      <c r="AV33">
        <v>0</v>
      </c>
      <c r="AW33">
        <v>362.88</v>
      </c>
      <c r="AX33">
        <v>76.84</v>
      </c>
      <c r="AY33">
        <v>350.36</v>
      </c>
      <c r="AZ33">
        <v>13.21</v>
      </c>
      <c r="BA33">
        <v>90.7</v>
      </c>
      <c r="BB33">
        <v>0</v>
      </c>
      <c r="BC33">
        <v>23</v>
      </c>
      <c r="BD33">
        <v>87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400</v>
      </c>
      <c r="BN33">
        <v>1000</v>
      </c>
      <c r="BO33">
        <v>0</v>
      </c>
      <c r="BP33">
        <v>0</v>
      </c>
      <c r="BQ33">
        <v>0</v>
      </c>
      <c r="BR33">
        <v>90</v>
      </c>
      <c r="BS33">
        <v>0</v>
      </c>
      <c r="BT33">
        <v>0</v>
      </c>
      <c r="BU33">
        <v>1000</v>
      </c>
      <c r="BV33">
        <v>686</v>
      </c>
      <c r="BW33" t="s">
        <v>188</v>
      </c>
      <c r="BX33">
        <v>0</v>
      </c>
      <c r="BY33" t="s">
        <v>1150</v>
      </c>
      <c r="BZ33" t="s">
        <v>930</v>
      </c>
      <c r="CA33" t="s">
        <v>1151</v>
      </c>
      <c r="CB33" t="s">
        <v>1152</v>
      </c>
      <c r="CC33" t="s">
        <v>1153</v>
      </c>
      <c r="CD33" t="s">
        <v>188</v>
      </c>
      <c r="CE33" t="s">
        <v>1154</v>
      </c>
      <c r="CF33" t="s">
        <v>1155</v>
      </c>
      <c r="CG33" t="s">
        <v>1156</v>
      </c>
      <c r="CI33" t="s">
        <v>1157</v>
      </c>
      <c r="CK33" t="s">
        <v>1158</v>
      </c>
      <c r="CL33" t="s">
        <v>1159</v>
      </c>
      <c r="CM33" t="s">
        <v>1160</v>
      </c>
      <c r="CN33" t="s">
        <v>1161</v>
      </c>
      <c r="CO33" t="s">
        <v>930</v>
      </c>
      <c r="CP33" t="s">
        <v>188</v>
      </c>
      <c r="CQ33" t="s">
        <v>188</v>
      </c>
      <c r="CR33">
        <v>76</v>
      </c>
      <c r="CS33">
        <v>0</v>
      </c>
      <c r="CV33" t="s">
        <v>1042</v>
      </c>
      <c r="CX33">
        <v>2100</v>
      </c>
      <c r="CY33">
        <v>3100</v>
      </c>
      <c r="CZ33">
        <v>1.5</v>
      </c>
      <c r="DA33">
        <v>0</v>
      </c>
      <c r="DB33" t="s">
        <v>1162</v>
      </c>
      <c r="DC33">
        <v>0</v>
      </c>
      <c r="DD33">
        <v>0</v>
      </c>
      <c r="DI33" t="s">
        <v>1163</v>
      </c>
      <c r="DJ33" t="s">
        <v>1164</v>
      </c>
      <c r="DK33">
        <v>200</v>
      </c>
      <c r="DQ33" t="s">
        <v>703</v>
      </c>
      <c r="DR33">
        <v>600</v>
      </c>
      <c r="DS33" t="s">
        <v>1165</v>
      </c>
      <c r="DT33">
        <v>900</v>
      </c>
      <c r="EW33" t="s">
        <v>188</v>
      </c>
      <c r="EX33" t="s">
        <v>188</v>
      </c>
      <c r="EY33" t="s">
        <v>188</v>
      </c>
      <c r="EZ33" t="s">
        <v>188</v>
      </c>
      <c r="FA33">
        <v>4</v>
      </c>
      <c r="FB33" t="s">
        <v>188</v>
      </c>
      <c r="FC33" t="s">
        <v>681</v>
      </c>
      <c r="FD33" t="s">
        <v>682</v>
      </c>
      <c r="FE33">
        <v>1.11111111111111E+27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 t="s">
        <v>188</v>
      </c>
      <c r="GF33" t="s">
        <v>188</v>
      </c>
      <c r="GG33" t="s">
        <v>188</v>
      </c>
      <c r="GH33" s="1">
        <v>44876</v>
      </c>
      <c r="GI33" t="s">
        <v>608</v>
      </c>
      <c r="GJ33" t="s">
        <v>610</v>
      </c>
      <c r="GK33" t="s">
        <v>610</v>
      </c>
      <c r="GL33">
        <v>0</v>
      </c>
      <c r="GM33">
        <v>0</v>
      </c>
      <c r="GN33">
        <v>254</v>
      </c>
      <c r="GO33">
        <v>203.2</v>
      </c>
      <c r="GP33">
        <v>0</v>
      </c>
      <c r="GR33" s="1">
        <v>45097</v>
      </c>
      <c r="GV33" t="s">
        <v>188</v>
      </c>
      <c r="GW33" t="s">
        <v>188</v>
      </c>
      <c r="GX33" t="s">
        <v>188</v>
      </c>
      <c r="GY33" t="s">
        <v>188</v>
      </c>
      <c r="GZ33" t="s">
        <v>188</v>
      </c>
      <c r="HA33" t="s">
        <v>188</v>
      </c>
      <c r="HB33" t="s">
        <v>188</v>
      </c>
      <c r="HC33" t="s">
        <v>188</v>
      </c>
      <c r="HD33" t="s">
        <v>188</v>
      </c>
      <c r="HE33" t="s">
        <v>188</v>
      </c>
      <c r="HH33">
        <v>0</v>
      </c>
      <c r="HI33">
        <v>0</v>
      </c>
      <c r="HJ33">
        <v>90.16</v>
      </c>
      <c r="HK33">
        <v>69.959999999999994</v>
      </c>
      <c r="HL33">
        <v>392.26</v>
      </c>
      <c r="HN33" t="s">
        <v>188</v>
      </c>
      <c r="IS33">
        <v>0</v>
      </c>
      <c r="IT33">
        <v>0</v>
      </c>
      <c r="IU33">
        <v>0</v>
      </c>
      <c r="IV33">
        <v>0</v>
      </c>
      <c r="IW33">
        <v>0</v>
      </c>
      <c r="IX33" t="s">
        <v>1166</v>
      </c>
      <c r="IY33">
        <v>0</v>
      </c>
      <c r="IZ33">
        <v>0</v>
      </c>
      <c r="JA33">
        <v>0</v>
      </c>
      <c r="JB33">
        <v>0</v>
      </c>
      <c r="JC33" t="s">
        <v>613</v>
      </c>
      <c r="JD33" t="s">
        <v>1167</v>
      </c>
      <c r="JE33" t="s">
        <v>791</v>
      </c>
      <c r="JF33">
        <v>2</v>
      </c>
      <c r="JG33" t="s">
        <v>1168</v>
      </c>
      <c r="JH33" t="s">
        <v>188</v>
      </c>
      <c r="JI33">
        <v>0</v>
      </c>
      <c r="JJ33" t="s">
        <v>188</v>
      </c>
      <c r="JK33">
        <v>441.06</v>
      </c>
      <c r="JL33">
        <v>19.3</v>
      </c>
      <c r="JM33">
        <v>4</v>
      </c>
    </row>
    <row r="34" spans="1:273" x14ac:dyDescent="0.3">
      <c r="A34" t="s">
        <v>1169</v>
      </c>
      <c r="B34" t="s">
        <v>302</v>
      </c>
      <c r="C34" t="s">
        <v>340</v>
      </c>
      <c r="D34" t="s">
        <v>657</v>
      </c>
      <c r="E34" t="s">
        <v>1114</v>
      </c>
      <c r="F34" t="s">
        <v>659</v>
      </c>
      <c r="G34">
        <v>5</v>
      </c>
      <c r="H34" t="s">
        <v>1170</v>
      </c>
      <c r="I34" t="s">
        <v>594</v>
      </c>
      <c r="J34" t="s">
        <v>993</v>
      </c>
      <c r="L34" t="s">
        <v>658</v>
      </c>
      <c r="M34" t="s">
        <v>1171</v>
      </c>
      <c r="N34">
        <v>1</v>
      </c>
      <c r="O34">
        <v>1</v>
      </c>
      <c r="P34">
        <v>1</v>
      </c>
      <c r="Q34">
        <v>9</v>
      </c>
      <c r="R34">
        <v>2</v>
      </c>
      <c r="S34">
        <v>0</v>
      </c>
      <c r="T34">
        <v>0</v>
      </c>
      <c r="U34">
        <v>0</v>
      </c>
      <c r="V34" t="s">
        <v>188</v>
      </c>
      <c r="W34">
        <v>1</v>
      </c>
      <c r="X34">
        <v>0</v>
      </c>
      <c r="Y34">
        <v>0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 t="s">
        <v>596</v>
      </c>
      <c r="AI34">
        <v>1</v>
      </c>
      <c r="AJ34" t="s">
        <v>199</v>
      </c>
      <c r="AK34">
        <v>1</v>
      </c>
      <c r="AL34">
        <v>49.7</v>
      </c>
      <c r="AM34">
        <v>438.9</v>
      </c>
      <c r="AN34">
        <v>0</v>
      </c>
      <c r="AO34">
        <v>0</v>
      </c>
      <c r="AP34">
        <v>0</v>
      </c>
      <c r="AQ34">
        <v>900</v>
      </c>
      <c r="AR34">
        <v>51.3</v>
      </c>
      <c r="AS34">
        <v>33.299999999999997</v>
      </c>
      <c r="AT34">
        <v>75.56</v>
      </c>
      <c r="AU34">
        <v>0</v>
      </c>
      <c r="AV34">
        <v>0</v>
      </c>
      <c r="AW34">
        <v>299.97000000000003</v>
      </c>
      <c r="AX34">
        <v>43.09</v>
      </c>
      <c r="AY34">
        <v>167.72</v>
      </c>
      <c r="AZ34">
        <v>5.38</v>
      </c>
      <c r="BA34">
        <v>51.3</v>
      </c>
      <c r="BB34">
        <v>0</v>
      </c>
      <c r="BC34">
        <v>24</v>
      </c>
      <c r="BD34">
        <v>116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400</v>
      </c>
      <c r="BN34">
        <v>800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750</v>
      </c>
      <c r="BV34">
        <v>686</v>
      </c>
      <c r="BW34" t="s">
        <v>188</v>
      </c>
      <c r="BX34">
        <v>0</v>
      </c>
      <c r="BY34" t="s">
        <v>1169</v>
      </c>
      <c r="CA34">
        <v>750</v>
      </c>
      <c r="CB34">
        <v>51.3</v>
      </c>
      <c r="CC34">
        <v>438.9</v>
      </c>
      <c r="CD34" t="s">
        <v>188</v>
      </c>
      <c r="CE34" t="s">
        <v>1172</v>
      </c>
      <c r="CF34" t="s">
        <v>1173</v>
      </c>
      <c r="CG34" t="s">
        <v>1174</v>
      </c>
      <c r="CI34" t="s">
        <v>1175</v>
      </c>
      <c r="CK34">
        <v>25</v>
      </c>
      <c r="CL34" t="s">
        <v>1176</v>
      </c>
      <c r="CM34" t="s">
        <v>1177</v>
      </c>
      <c r="CN34" t="s">
        <v>1178</v>
      </c>
      <c r="CO34">
        <v>0</v>
      </c>
      <c r="CP34" t="s">
        <v>188</v>
      </c>
      <c r="CQ34" t="s">
        <v>188</v>
      </c>
      <c r="CR34">
        <v>76</v>
      </c>
      <c r="CS34">
        <v>0</v>
      </c>
      <c r="CX34">
        <v>0</v>
      </c>
      <c r="CY34">
        <v>2100</v>
      </c>
      <c r="CZ34">
        <v>0</v>
      </c>
      <c r="DA34">
        <v>0</v>
      </c>
      <c r="DB34" t="s">
        <v>1179</v>
      </c>
      <c r="DC34">
        <v>0</v>
      </c>
      <c r="DD34">
        <v>0</v>
      </c>
      <c r="DI34" t="s">
        <v>1163</v>
      </c>
      <c r="DJ34" t="s">
        <v>1180</v>
      </c>
      <c r="DK34">
        <v>200</v>
      </c>
      <c r="DQ34" t="s">
        <v>703</v>
      </c>
      <c r="DR34">
        <v>600</v>
      </c>
      <c r="DS34" t="s">
        <v>1165</v>
      </c>
      <c r="DT34">
        <v>900</v>
      </c>
      <c r="DY34" t="s">
        <v>1181</v>
      </c>
      <c r="DZ34" t="s">
        <v>1181</v>
      </c>
      <c r="EA34" t="s">
        <v>1182</v>
      </c>
      <c r="EB34" t="s">
        <v>1183</v>
      </c>
      <c r="EC34" t="s">
        <v>1184</v>
      </c>
      <c r="ED34" t="s">
        <v>1185</v>
      </c>
      <c r="EE34" t="s">
        <v>1186</v>
      </c>
      <c r="EW34" t="s">
        <v>188</v>
      </c>
      <c r="EX34" t="s">
        <v>188</v>
      </c>
      <c r="EY34" t="s">
        <v>188</v>
      </c>
      <c r="EZ34" t="s">
        <v>188</v>
      </c>
      <c r="FA34">
        <v>4</v>
      </c>
      <c r="FB34" t="s">
        <v>188</v>
      </c>
      <c r="FC34" t="s">
        <v>681</v>
      </c>
      <c r="FD34" t="s">
        <v>682</v>
      </c>
      <c r="FE34">
        <v>1.1111111111111101E+31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 t="s">
        <v>188</v>
      </c>
      <c r="GF34" t="s">
        <v>188</v>
      </c>
      <c r="GG34" t="s">
        <v>188</v>
      </c>
      <c r="GH34" s="1">
        <v>44872</v>
      </c>
      <c r="GI34" t="s">
        <v>608</v>
      </c>
      <c r="GJ34" t="s">
        <v>609</v>
      </c>
      <c r="GK34" t="s">
        <v>812</v>
      </c>
      <c r="GL34">
        <v>0</v>
      </c>
      <c r="GM34">
        <v>0</v>
      </c>
      <c r="GN34">
        <v>254</v>
      </c>
      <c r="GO34">
        <v>203.2</v>
      </c>
      <c r="GP34">
        <v>0</v>
      </c>
      <c r="GR34" s="1">
        <v>45739</v>
      </c>
      <c r="GV34" t="s">
        <v>188</v>
      </c>
      <c r="GW34" t="s">
        <v>188</v>
      </c>
      <c r="GX34" t="s">
        <v>188</v>
      </c>
      <c r="GY34" t="s">
        <v>188</v>
      </c>
      <c r="GZ34" t="s">
        <v>188</v>
      </c>
      <c r="HA34" t="s">
        <v>188</v>
      </c>
      <c r="HB34" t="s">
        <v>188</v>
      </c>
      <c r="HC34" t="s">
        <v>188</v>
      </c>
      <c r="HD34" t="s">
        <v>188</v>
      </c>
      <c r="HE34" t="s">
        <v>188</v>
      </c>
      <c r="HH34">
        <v>0</v>
      </c>
      <c r="HI34">
        <v>0</v>
      </c>
      <c r="HJ34">
        <v>50.89</v>
      </c>
      <c r="HK34">
        <v>39.020000000000003</v>
      </c>
      <c r="HL34">
        <v>183.37</v>
      </c>
      <c r="HN34" t="s">
        <v>188</v>
      </c>
      <c r="IS34">
        <v>0</v>
      </c>
      <c r="IT34">
        <v>0</v>
      </c>
      <c r="IU34">
        <v>0</v>
      </c>
      <c r="IV34">
        <v>0</v>
      </c>
      <c r="IW34">
        <v>0</v>
      </c>
      <c r="IX34" t="s">
        <v>1187</v>
      </c>
      <c r="IY34">
        <v>0</v>
      </c>
      <c r="IZ34">
        <v>0</v>
      </c>
      <c r="JA34">
        <v>0</v>
      </c>
      <c r="JB34">
        <v>0</v>
      </c>
      <c r="JC34" t="s">
        <v>613</v>
      </c>
      <c r="JD34" t="s">
        <v>1188</v>
      </c>
      <c r="JE34" t="s">
        <v>1189</v>
      </c>
      <c r="JF34">
        <v>2</v>
      </c>
      <c r="JG34" t="s">
        <v>1190</v>
      </c>
      <c r="JH34" t="s">
        <v>188</v>
      </c>
      <c r="JI34">
        <v>0</v>
      </c>
      <c r="JJ34" t="s">
        <v>188</v>
      </c>
      <c r="JK34">
        <v>204.7</v>
      </c>
      <c r="JL34">
        <v>0</v>
      </c>
      <c r="JM34">
        <v>1</v>
      </c>
    </row>
    <row r="35" spans="1:273" x14ac:dyDescent="0.3">
      <c r="A35" t="s">
        <v>1191</v>
      </c>
      <c r="B35" t="s">
        <v>302</v>
      </c>
      <c r="C35" t="s">
        <v>340</v>
      </c>
      <c r="D35" t="s">
        <v>657</v>
      </c>
      <c r="E35" t="s">
        <v>1114</v>
      </c>
      <c r="F35" t="s">
        <v>592</v>
      </c>
      <c r="G35">
        <v>5</v>
      </c>
      <c r="H35" t="s">
        <v>1148</v>
      </c>
      <c r="I35" t="s">
        <v>594</v>
      </c>
      <c r="J35" t="s">
        <v>993</v>
      </c>
      <c r="L35" t="s">
        <v>658</v>
      </c>
      <c r="M35" t="s">
        <v>1149</v>
      </c>
      <c r="N35">
        <v>4</v>
      </c>
      <c r="O35">
        <v>4</v>
      </c>
      <c r="P35">
        <v>1</v>
      </c>
      <c r="Q35">
        <v>8</v>
      </c>
      <c r="R35">
        <v>2</v>
      </c>
      <c r="S35">
        <v>0</v>
      </c>
      <c r="T35">
        <v>0</v>
      </c>
      <c r="U35">
        <v>0</v>
      </c>
      <c r="V35" t="s">
        <v>188</v>
      </c>
      <c r="W35">
        <v>1</v>
      </c>
      <c r="X35">
        <v>0</v>
      </c>
      <c r="Y35">
        <v>0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 t="s">
        <v>596</v>
      </c>
      <c r="AI35">
        <v>1</v>
      </c>
      <c r="AJ35" t="s">
        <v>199</v>
      </c>
      <c r="AK35">
        <v>1</v>
      </c>
      <c r="AL35">
        <v>120</v>
      </c>
      <c r="AM35">
        <v>600</v>
      </c>
      <c r="AN35">
        <v>0</v>
      </c>
      <c r="AO35">
        <v>0</v>
      </c>
      <c r="AP35">
        <v>0</v>
      </c>
      <c r="AQ35">
        <v>425</v>
      </c>
      <c r="AR35">
        <v>90.7</v>
      </c>
      <c r="AS35">
        <v>9</v>
      </c>
      <c r="AT35">
        <v>78.03</v>
      </c>
      <c r="AU35">
        <v>0</v>
      </c>
      <c r="AV35">
        <v>0</v>
      </c>
      <c r="AW35">
        <v>362.88</v>
      </c>
      <c r="AX35">
        <v>76.84</v>
      </c>
      <c r="AY35">
        <v>350.36</v>
      </c>
      <c r="AZ35">
        <v>13.21</v>
      </c>
      <c r="BA35">
        <v>90.7</v>
      </c>
      <c r="BB35">
        <v>0</v>
      </c>
      <c r="BC35">
        <v>23</v>
      </c>
      <c r="BD35">
        <v>87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400</v>
      </c>
      <c r="BN35">
        <v>1000</v>
      </c>
      <c r="BO35">
        <v>0</v>
      </c>
      <c r="BP35">
        <v>0</v>
      </c>
      <c r="BQ35">
        <v>0</v>
      </c>
      <c r="BR35">
        <v>90</v>
      </c>
      <c r="BS35">
        <v>0</v>
      </c>
      <c r="BT35">
        <v>0</v>
      </c>
      <c r="BU35">
        <v>1000</v>
      </c>
      <c r="BV35">
        <v>686</v>
      </c>
      <c r="BW35" t="s">
        <v>188</v>
      </c>
      <c r="BX35">
        <v>0</v>
      </c>
      <c r="BY35" t="s">
        <v>1192</v>
      </c>
      <c r="BZ35" t="s">
        <v>930</v>
      </c>
      <c r="CA35" t="s">
        <v>1151</v>
      </c>
      <c r="CB35" t="s">
        <v>1152</v>
      </c>
      <c r="CC35" t="s">
        <v>1153</v>
      </c>
      <c r="CD35" t="s">
        <v>188</v>
      </c>
      <c r="CE35" t="s">
        <v>1154</v>
      </c>
      <c r="CF35" t="s">
        <v>1155</v>
      </c>
      <c r="CG35" t="s">
        <v>1156</v>
      </c>
      <c r="CI35" t="s">
        <v>1157</v>
      </c>
      <c r="CK35" t="s">
        <v>1158</v>
      </c>
      <c r="CL35" t="s">
        <v>1159</v>
      </c>
      <c r="CM35" t="s">
        <v>1160</v>
      </c>
      <c r="CN35" t="s">
        <v>1161</v>
      </c>
      <c r="CO35" t="s">
        <v>930</v>
      </c>
      <c r="CP35" t="s">
        <v>188</v>
      </c>
      <c r="CQ35" t="s">
        <v>188</v>
      </c>
      <c r="CR35">
        <v>76</v>
      </c>
      <c r="CS35">
        <v>0</v>
      </c>
      <c r="CT35" t="s">
        <v>1193</v>
      </c>
      <c r="CU35" t="s">
        <v>703</v>
      </c>
      <c r="CV35" t="s">
        <v>1042</v>
      </c>
      <c r="CX35">
        <v>2100</v>
      </c>
      <c r="CY35">
        <v>3100</v>
      </c>
      <c r="CZ35">
        <v>1.5</v>
      </c>
      <c r="DA35">
        <v>0</v>
      </c>
      <c r="DB35" t="s">
        <v>1194</v>
      </c>
      <c r="DC35">
        <v>0</v>
      </c>
      <c r="DD35">
        <v>0</v>
      </c>
      <c r="DI35" t="s">
        <v>1163</v>
      </c>
      <c r="DJ35" t="s">
        <v>1195</v>
      </c>
      <c r="DK35">
        <v>200</v>
      </c>
      <c r="DQ35" t="s">
        <v>1196</v>
      </c>
      <c r="DR35">
        <v>260</v>
      </c>
      <c r="DS35" t="s">
        <v>1197</v>
      </c>
      <c r="DT35">
        <v>425</v>
      </c>
      <c r="EW35" t="s">
        <v>188</v>
      </c>
      <c r="EX35" t="s">
        <v>188</v>
      </c>
      <c r="EY35" t="s">
        <v>188</v>
      </c>
      <c r="EZ35" t="s">
        <v>188</v>
      </c>
      <c r="FA35">
        <v>4</v>
      </c>
      <c r="FB35" t="s">
        <v>188</v>
      </c>
      <c r="FC35" t="s">
        <v>681</v>
      </c>
      <c r="FD35" t="s">
        <v>682</v>
      </c>
      <c r="FE35">
        <v>1.11111111111111E+27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 t="s">
        <v>188</v>
      </c>
      <c r="GF35" t="s">
        <v>188</v>
      </c>
      <c r="GG35" t="s">
        <v>188</v>
      </c>
      <c r="GH35" t="s">
        <v>188</v>
      </c>
      <c r="GI35" t="s">
        <v>608</v>
      </c>
      <c r="GJ35" t="s">
        <v>609</v>
      </c>
      <c r="GK35" t="s">
        <v>812</v>
      </c>
      <c r="GL35">
        <v>0</v>
      </c>
      <c r="GM35">
        <v>0</v>
      </c>
      <c r="GN35">
        <v>254</v>
      </c>
      <c r="GO35">
        <v>203.2</v>
      </c>
      <c r="GP35">
        <v>0</v>
      </c>
      <c r="GR35" s="1">
        <v>45789</v>
      </c>
      <c r="GV35" t="s">
        <v>188</v>
      </c>
      <c r="GW35" t="s">
        <v>188</v>
      </c>
      <c r="GX35" t="s">
        <v>188</v>
      </c>
      <c r="GY35" t="s">
        <v>188</v>
      </c>
      <c r="GZ35" t="s">
        <v>188</v>
      </c>
      <c r="HA35" t="s">
        <v>188</v>
      </c>
      <c r="HB35" t="s">
        <v>188</v>
      </c>
      <c r="HC35" t="s">
        <v>188</v>
      </c>
      <c r="HD35" t="s">
        <v>188</v>
      </c>
      <c r="HE35" t="s">
        <v>188</v>
      </c>
      <c r="HH35">
        <v>0</v>
      </c>
      <c r="HI35">
        <v>0</v>
      </c>
      <c r="HJ35">
        <v>90.16</v>
      </c>
      <c r="HK35">
        <v>69.959999999999994</v>
      </c>
      <c r="HL35">
        <v>392.26</v>
      </c>
      <c r="HN35" t="s">
        <v>188</v>
      </c>
      <c r="IS35">
        <v>0</v>
      </c>
      <c r="IT35">
        <v>0</v>
      </c>
      <c r="IU35">
        <v>0</v>
      </c>
      <c r="IV35">
        <v>0</v>
      </c>
      <c r="IW35">
        <v>0</v>
      </c>
      <c r="IX35" t="s">
        <v>1166</v>
      </c>
      <c r="IY35">
        <v>0</v>
      </c>
      <c r="IZ35">
        <v>0</v>
      </c>
      <c r="JA35">
        <v>0</v>
      </c>
      <c r="JB35">
        <v>0</v>
      </c>
      <c r="JC35" t="s">
        <v>613</v>
      </c>
      <c r="JD35" t="s">
        <v>1167</v>
      </c>
      <c r="JE35" t="s">
        <v>1198</v>
      </c>
      <c r="JF35">
        <v>2</v>
      </c>
      <c r="JG35" t="s">
        <v>1199</v>
      </c>
      <c r="JH35" t="s">
        <v>188</v>
      </c>
      <c r="JI35">
        <v>0</v>
      </c>
      <c r="JJ35" t="s">
        <v>188</v>
      </c>
      <c r="JK35">
        <v>441.06</v>
      </c>
      <c r="JL35">
        <v>19.3</v>
      </c>
      <c r="JM35">
        <v>4</v>
      </c>
    </row>
    <row r="36" spans="1:273" x14ac:dyDescent="0.3">
      <c r="A36" t="s">
        <v>1200</v>
      </c>
      <c r="B36" t="s">
        <v>302</v>
      </c>
      <c r="C36" t="s">
        <v>340</v>
      </c>
      <c r="D36" t="s">
        <v>657</v>
      </c>
      <c r="E36" t="s">
        <v>1114</v>
      </c>
      <c r="F36" t="s">
        <v>659</v>
      </c>
      <c r="G36">
        <v>5</v>
      </c>
      <c r="H36" t="s">
        <v>1170</v>
      </c>
      <c r="I36" t="s">
        <v>594</v>
      </c>
      <c r="J36" t="s">
        <v>993</v>
      </c>
      <c r="L36" t="s">
        <v>658</v>
      </c>
      <c r="M36" t="s">
        <v>1171</v>
      </c>
      <c r="N36">
        <v>1</v>
      </c>
      <c r="O36">
        <v>1</v>
      </c>
      <c r="P36">
        <v>1</v>
      </c>
      <c r="Q36">
        <v>9</v>
      </c>
      <c r="R36">
        <v>2</v>
      </c>
      <c r="S36">
        <v>0</v>
      </c>
      <c r="T36">
        <v>0</v>
      </c>
      <c r="U36">
        <v>0</v>
      </c>
      <c r="V36" t="s">
        <v>188</v>
      </c>
      <c r="W36">
        <v>1</v>
      </c>
      <c r="X36">
        <v>0</v>
      </c>
      <c r="Y36">
        <v>0</v>
      </c>
      <c r="Z36">
        <v>1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 t="s">
        <v>596</v>
      </c>
      <c r="AI36">
        <v>1</v>
      </c>
      <c r="AJ36" t="s">
        <v>199</v>
      </c>
      <c r="AK36">
        <v>1</v>
      </c>
      <c r="AL36">
        <v>50</v>
      </c>
      <c r="AM36">
        <v>439.7</v>
      </c>
      <c r="AN36">
        <v>0</v>
      </c>
      <c r="AO36">
        <v>0</v>
      </c>
      <c r="AP36">
        <v>0</v>
      </c>
      <c r="AQ36">
        <v>425</v>
      </c>
      <c r="AR36">
        <v>51.3</v>
      </c>
      <c r="AS36">
        <v>33.5</v>
      </c>
      <c r="AT36">
        <v>75.67</v>
      </c>
      <c r="AU36">
        <v>0</v>
      </c>
      <c r="AV36">
        <v>0</v>
      </c>
      <c r="AW36">
        <v>296.36</v>
      </c>
      <c r="AX36">
        <v>43.21</v>
      </c>
      <c r="AY36">
        <v>165.94</v>
      </c>
      <c r="AZ36">
        <v>10.4</v>
      </c>
      <c r="BA36">
        <v>51.3</v>
      </c>
      <c r="BB36">
        <v>0</v>
      </c>
      <c r="BC36">
        <v>26</v>
      </c>
      <c r="BD36">
        <v>75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400</v>
      </c>
      <c r="BN36">
        <v>800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800</v>
      </c>
      <c r="BV36">
        <v>686</v>
      </c>
      <c r="BW36" t="s">
        <v>188</v>
      </c>
      <c r="BX36">
        <v>0</v>
      </c>
      <c r="BY36" t="s">
        <v>1171</v>
      </c>
      <c r="CA36">
        <v>800</v>
      </c>
      <c r="CB36">
        <v>51.3</v>
      </c>
      <c r="CC36">
        <v>439.7</v>
      </c>
      <c r="CD36" t="s">
        <v>188</v>
      </c>
      <c r="CE36" t="s">
        <v>1201</v>
      </c>
      <c r="CF36" t="s">
        <v>1202</v>
      </c>
      <c r="CG36" t="s">
        <v>1203</v>
      </c>
      <c r="CI36" t="s">
        <v>1204</v>
      </c>
      <c r="CK36">
        <v>25</v>
      </c>
      <c r="CL36" t="s">
        <v>1205</v>
      </c>
      <c r="CM36" t="s">
        <v>1206</v>
      </c>
      <c r="CN36" t="s">
        <v>1207</v>
      </c>
      <c r="CO36">
        <v>0</v>
      </c>
      <c r="CP36" t="s">
        <v>188</v>
      </c>
      <c r="CQ36" t="s">
        <v>188</v>
      </c>
      <c r="CR36">
        <v>76</v>
      </c>
      <c r="CS36">
        <v>0</v>
      </c>
      <c r="CT36" t="s">
        <v>1208</v>
      </c>
      <c r="CX36">
        <v>0</v>
      </c>
      <c r="CY36">
        <v>2100</v>
      </c>
      <c r="CZ36">
        <v>0</v>
      </c>
      <c r="DA36">
        <v>0</v>
      </c>
      <c r="DB36" t="s">
        <v>1209</v>
      </c>
      <c r="DC36">
        <v>0</v>
      </c>
      <c r="DD36">
        <v>0</v>
      </c>
      <c r="DI36" t="s">
        <v>1163</v>
      </c>
      <c r="DJ36" t="s">
        <v>1210</v>
      </c>
      <c r="DK36">
        <v>200</v>
      </c>
      <c r="DQ36" t="s">
        <v>1196</v>
      </c>
      <c r="DR36">
        <v>260</v>
      </c>
      <c r="DS36" t="s">
        <v>1197</v>
      </c>
      <c r="DT36">
        <v>425</v>
      </c>
      <c r="EW36" t="s">
        <v>188</v>
      </c>
      <c r="EX36" t="s">
        <v>188</v>
      </c>
      <c r="EY36" t="s">
        <v>188</v>
      </c>
      <c r="EZ36" t="s">
        <v>188</v>
      </c>
      <c r="FA36">
        <v>4</v>
      </c>
      <c r="FB36" t="s">
        <v>188</v>
      </c>
      <c r="FE36">
        <v>1.11111111111111E+35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 t="s">
        <v>188</v>
      </c>
      <c r="GF36" t="s">
        <v>188</v>
      </c>
      <c r="GG36" t="s">
        <v>188</v>
      </c>
      <c r="GH36" s="1">
        <v>44648</v>
      </c>
      <c r="GI36" t="s">
        <v>608</v>
      </c>
      <c r="GJ36" t="s">
        <v>609</v>
      </c>
      <c r="GK36" t="s">
        <v>812</v>
      </c>
      <c r="GL36">
        <v>0</v>
      </c>
      <c r="GM36">
        <v>0</v>
      </c>
      <c r="GN36">
        <v>254</v>
      </c>
      <c r="GO36">
        <v>203.2</v>
      </c>
      <c r="GP36">
        <v>0</v>
      </c>
      <c r="GQ36" t="s">
        <v>611</v>
      </c>
      <c r="GR36" s="1">
        <v>45740</v>
      </c>
      <c r="GV36" t="s">
        <v>188</v>
      </c>
      <c r="GW36" t="s">
        <v>188</v>
      </c>
      <c r="GX36" t="s">
        <v>188</v>
      </c>
      <c r="GY36" t="s">
        <v>188</v>
      </c>
      <c r="GZ36" t="s">
        <v>188</v>
      </c>
      <c r="HA36" t="s">
        <v>188</v>
      </c>
      <c r="HB36" t="s">
        <v>188</v>
      </c>
      <c r="HC36" t="s">
        <v>188</v>
      </c>
      <c r="HD36" t="s">
        <v>188</v>
      </c>
      <c r="HE36" t="s">
        <v>188</v>
      </c>
      <c r="HH36">
        <v>0</v>
      </c>
      <c r="HI36">
        <v>0</v>
      </c>
      <c r="HJ36">
        <v>51.45</v>
      </c>
      <c r="HK36">
        <v>39.28</v>
      </c>
      <c r="HL36">
        <v>182.26</v>
      </c>
      <c r="HN36" t="s">
        <v>188</v>
      </c>
      <c r="IS36">
        <v>0</v>
      </c>
      <c r="IT36">
        <v>0</v>
      </c>
      <c r="IU36">
        <v>0</v>
      </c>
      <c r="IV36">
        <v>0</v>
      </c>
      <c r="IW36">
        <v>0</v>
      </c>
      <c r="IX36" t="s">
        <v>1211</v>
      </c>
      <c r="IY36">
        <v>0</v>
      </c>
      <c r="IZ36">
        <v>0</v>
      </c>
      <c r="JA36">
        <v>0</v>
      </c>
      <c r="JB36">
        <v>0</v>
      </c>
      <c r="JC36" t="s">
        <v>613</v>
      </c>
      <c r="JD36" t="s">
        <v>705</v>
      </c>
      <c r="JE36" t="s">
        <v>791</v>
      </c>
      <c r="JF36">
        <v>0</v>
      </c>
      <c r="JH36" t="s">
        <v>188</v>
      </c>
      <c r="JI36">
        <v>0</v>
      </c>
      <c r="JJ36" t="s">
        <v>188</v>
      </c>
      <c r="JK36">
        <v>206.3</v>
      </c>
      <c r="JL36">
        <v>0</v>
      </c>
      <c r="JM36">
        <v>1</v>
      </c>
    </row>
    <row r="37" spans="1:273" x14ac:dyDescent="0.3">
      <c r="A37" t="s">
        <v>1212</v>
      </c>
      <c r="B37" t="s">
        <v>302</v>
      </c>
      <c r="C37" t="s">
        <v>340</v>
      </c>
      <c r="D37" t="s">
        <v>657</v>
      </c>
      <c r="E37" t="s">
        <v>1114</v>
      </c>
      <c r="F37" t="s">
        <v>592</v>
      </c>
      <c r="G37">
        <v>5</v>
      </c>
      <c r="H37" t="s">
        <v>1148</v>
      </c>
      <c r="I37" t="s">
        <v>594</v>
      </c>
      <c r="J37" t="s">
        <v>993</v>
      </c>
      <c r="L37" t="s">
        <v>658</v>
      </c>
      <c r="M37" t="s">
        <v>1149</v>
      </c>
      <c r="N37">
        <v>4</v>
      </c>
      <c r="O37">
        <v>4</v>
      </c>
      <c r="P37">
        <v>1</v>
      </c>
      <c r="Q37">
        <v>8</v>
      </c>
      <c r="R37">
        <v>2</v>
      </c>
      <c r="S37">
        <v>0</v>
      </c>
      <c r="T37">
        <v>0</v>
      </c>
      <c r="U37">
        <v>0</v>
      </c>
      <c r="V37" t="s">
        <v>188</v>
      </c>
      <c r="W37">
        <v>1</v>
      </c>
      <c r="X37">
        <v>0</v>
      </c>
      <c r="Y37">
        <v>0</v>
      </c>
      <c r="Z37">
        <v>1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 t="s">
        <v>596</v>
      </c>
      <c r="AI37">
        <v>1</v>
      </c>
      <c r="AJ37" t="s">
        <v>199</v>
      </c>
      <c r="AK37">
        <v>1</v>
      </c>
      <c r="AL37">
        <v>120</v>
      </c>
      <c r="AM37">
        <v>600</v>
      </c>
      <c r="AN37">
        <v>0</v>
      </c>
      <c r="AO37">
        <v>0</v>
      </c>
      <c r="AP37">
        <v>0</v>
      </c>
      <c r="AQ37">
        <v>425</v>
      </c>
      <c r="AR37">
        <v>90.7</v>
      </c>
      <c r="AS37">
        <v>9</v>
      </c>
      <c r="AT37">
        <v>78.03</v>
      </c>
      <c r="AU37">
        <v>0</v>
      </c>
      <c r="AV37">
        <v>0</v>
      </c>
      <c r="AW37">
        <v>362.88</v>
      </c>
      <c r="AX37">
        <v>76.84</v>
      </c>
      <c r="AY37">
        <v>350.36</v>
      </c>
      <c r="AZ37">
        <v>13.21</v>
      </c>
      <c r="BA37">
        <v>90.7</v>
      </c>
      <c r="BB37">
        <v>0</v>
      </c>
      <c r="BC37">
        <v>23</v>
      </c>
      <c r="BD37">
        <v>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400</v>
      </c>
      <c r="BN37">
        <v>1000</v>
      </c>
      <c r="BO37">
        <v>0</v>
      </c>
      <c r="BP37">
        <v>0</v>
      </c>
      <c r="BQ37">
        <v>0</v>
      </c>
      <c r="BR37">
        <v>90</v>
      </c>
      <c r="BS37">
        <v>0</v>
      </c>
      <c r="BT37">
        <v>0</v>
      </c>
      <c r="BU37">
        <v>1000</v>
      </c>
      <c r="BV37">
        <v>686</v>
      </c>
      <c r="BW37" t="s">
        <v>188</v>
      </c>
      <c r="BX37">
        <v>0</v>
      </c>
      <c r="BY37" t="s">
        <v>1213</v>
      </c>
      <c r="BZ37" t="s">
        <v>930</v>
      </c>
      <c r="CA37" t="s">
        <v>1151</v>
      </c>
      <c r="CB37" t="s">
        <v>1152</v>
      </c>
      <c r="CC37" t="s">
        <v>1153</v>
      </c>
      <c r="CD37" t="s">
        <v>188</v>
      </c>
      <c r="CE37" t="s">
        <v>1154</v>
      </c>
      <c r="CF37" t="s">
        <v>1155</v>
      </c>
      <c r="CG37" t="s">
        <v>1156</v>
      </c>
      <c r="CI37" t="s">
        <v>1214</v>
      </c>
      <c r="CK37" t="s">
        <v>1158</v>
      </c>
      <c r="CL37" t="s">
        <v>1159</v>
      </c>
      <c r="CM37" t="s">
        <v>1160</v>
      </c>
      <c r="CN37" t="s">
        <v>1215</v>
      </c>
      <c r="CO37" t="s">
        <v>930</v>
      </c>
      <c r="CP37" t="s">
        <v>188</v>
      </c>
      <c r="CQ37" t="s">
        <v>188</v>
      </c>
      <c r="CR37">
        <v>76</v>
      </c>
      <c r="CS37">
        <v>0</v>
      </c>
      <c r="CV37" t="s">
        <v>1042</v>
      </c>
      <c r="CX37">
        <v>2100</v>
      </c>
      <c r="CY37">
        <v>35</v>
      </c>
      <c r="CZ37">
        <v>1.5</v>
      </c>
      <c r="DA37">
        <v>0</v>
      </c>
      <c r="DB37" t="s">
        <v>1216</v>
      </c>
      <c r="DC37">
        <v>0</v>
      </c>
      <c r="DD37">
        <v>0</v>
      </c>
      <c r="DI37" t="s">
        <v>1163</v>
      </c>
      <c r="DJ37" t="s">
        <v>1195</v>
      </c>
      <c r="DK37">
        <v>200</v>
      </c>
      <c r="DQ37" t="s">
        <v>1046</v>
      </c>
      <c r="DR37">
        <v>460</v>
      </c>
      <c r="EW37" t="s">
        <v>188</v>
      </c>
      <c r="EX37" t="s">
        <v>188</v>
      </c>
      <c r="EY37" t="s">
        <v>188</v>
      </c>
      <c r="EZ37" t="s">
        <v>188</v>
      </c>
      <c r="FA37">
        <v>4</v>
      </c>
      <c r="FB37" t="s">
        <v>188</v>
      </c>
      <c r="FC37" t="s">
        <v>681</v>
      </c>
      <c r="FD37" t="s">
        <v>682</v>
      </c>
      <c r="FE37">
        <v>1.11111111111111E+27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 t="s">
        <v>188</v>
      </c>
      <c r="GF37" t="s">
        <v>188</v>
      </c>
      <c r="GG37" t="s">
        <v>188</v>
      </c>
      <c r="GH37" s="1">
        <v>44876</v>
      </c>
      <c r="GI37" t="s">
        <v>608</v>
      </c>
      <c r="GJ37" t="s">
        <v>610</v>
      </c>
      <c r="GK37" t="s">
        <v>610</v>
      </c>
      <c r="GL37">
        <v>0</v>
      </c>
      <c r="GM37">
        <v>0</v>
      </c>
      <c r="GN37">
        <v>254</v>
      </c>
      <c r="GO37">
        <v>203.2</v>
      </c>
      <c r="GP37">
        <v>0</v>
      </c>
      <c r="GR37" s="1">
        <v>45092</v>
      </c>
      <c r="GV37" t="s">
        <v>188</v>
      </c>
      <c r="GW37" t="s">
        <v>188</v>
      </c>
      <c r="GX37" t="s">
        <v>188</v>
      </c>
      <c r="GY37" t="s">
        <v>188</v>
      </c>
      <c r="GZ37" t="s">
        <v>188</v>
      </c>
      <c r="HA37" t="s">
        <v>188</v>
      </c>
      <c r="HB37" t="s">
        <v>188</v>
      </c>
      <c r="HC37" t="s">
        <v>188</v>
      </c>
      <c r="HD37" t="s">
        <v>188</v>
      </c>
      <c r="HE37" t="s">
        <v>188</v>
      </c>
      <c r="HH37">
        <v>0</v>
      </c>
      <c r="HI37">
        <v>0</v>
      </c>
      <c r="HJ37">
        <v>90.16</v>
      </c>
      <c r="HK37">
        <v>69.959999999999994</v>
      </c>
      <c r="HL37">
        <v>392.26</v>
      </c>
      <c r="HN37" t="s">
        <v>188</v>
      </c>
      <c r="IS37">
        <v>0</v>
      </c>
      <c r="IT37">
        <v>0</v>
      </c>
      <c r="IU37">
        <v>0</v>
      </c>
      <c r="IV37">
        <v>0</v>
      </c>
      <c r="IW37">
        <v>0</v>
      </c>
      <c r="IX37" t="s">
        <v>1166</v>
      </c>
      <c r="IY37">
        <v>0</v>
      </c>
      <c r="IZ37">
        <v>0</v>
      </c>
      <c r="JA37">
        <v>0</v>
      </c>
      <c r="JB37">
        <v>0</v>
      </c>
      <c r="JC37" t="s">
        <v>613</v>
      </c>
      <c r="JD37" t="s">
        <v>1167</v>
      </c>
      <c r="JE37" t="s">
        <v>1198</v>
      </c>
      <c r="JF37">
        <v>2</v>
      </c>
      <c r="JH37" t="s">
        <v>188</v>
      </c>
      <c r="JI37">
        <v>0</v>
      </c>
      <c r="JJ37" t="s">
        <v>188</v>
      </c>
      <c r="JK37">
        <v>441.06</v>
      </c>
      <c r="JL37">
        <v>19.3</v>
      </c>
      <c r="JM37">
        <v>4</v>
      </c>
    </row>
    <row r="38" spans="1:273" x14ac:dyDescent="0.3">
      <c r="A38" t="s">
        <v>1217</v>
      </c>
      <c r="B38" t="s">
        <v>302</v>
      </c>
      <c r="C38" t="s">
        <v>340</v>
      </c>
      <c r="D38" t="s">
        <v>590</v>
      </c>
      <c r="E38" t="s">
        <v>1114</v>
      </c>
      <c r="F38" t="s">
        <v>592</v>
      </c>
      <c r="G38">
        <v>4</v>
      </c>
      <c r="H38" t="s">
        <v>1218</v>
      </c>
      <c r="I38" t="s">
        <v>594</v>
      </c>
      <c r="J38" t="s">
        <v>661</v>
      </c>
      <c r="N38">
        <v>3</v>
      </c>
      <c r="O38">
        <v>3</v>
      </c>
      <c r="P38">
        <v>1</v>
      </c>
      <c r="Q38">
        <v>11</v>
      </c>
      <c r="R38">
        <v>2</v>
      </c>
      <c r="S38">
        <v>0</v>
      </c>
      <c r="T38">
        <v>0</v>
      </c>
      <c r="U38">
        <v>0</v>
      </c>
      <c r="V38" t="s">
        <v>188</v>
      </c>
      <c r="W38">
        <v>1</v>
      </c>
      <c r="X38">
        <v>0</v>
      </c>
      <c r="Y38">
        <v>0</v>
      </c>
      <c r="Z38">
        <v>1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 t="s">
        <v>596</v>
      </c>
      <c r="AI38">
        <v>1</v>
      </c>
      <c r="AJ38" t="s">
        <v>199</v>
      </c>
      <c r="AK38">
        <v>1</v>
      </c>
      <c r="AL38">
        <v>14</v>
      </c>
      <c r="AM38">
        <v>174.3</v>
      </c>
      <c r="AN38">
        <v>0</v>
      </c>
      <c r="AO38">
        <v>0</v>
      </c>
      <c r="AP38">
        <v>0</v>
      </c>
      <c r="AQ38">
        <v>0</v>
      </c>
      <c r="AR38">
        <v>70.2</v>
      </c>
      <c r="AS38">
        <v>5</v>
      </c>
      <c r="AT38">
        <v>68.13</v>
      </c>
      <c r="AU38">
        <v>0</v>
      </c>
      <c r="AV38">
        <v>0</v>
      </c>
      <c r="AW38">
        <v>128.05000000000001</v>
      </c>
      <c r="AX38">
        <v>61.82</v>
      </c>
      <c r="AY38">
        <v>113.91</v>
      </c>
      <c r="AZ38">
        <v>6.45</v>
      </c>
      <c r="BA38">
        <v>70.2</v>
      </c>
      <c r="BB38">
        <v>0</v>
      </c>
      <c r="BC38">
        <v>26</v>
      </c>
      <c r="BD38">
        <v>141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500</v>
      </c>
      <c r="BN38">
        <v>1600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1600</v>
      </c>
      <c r="BV38">
        <v>388</v>
      </c>
      <c r="BW38" t="s">
        <v>188</v>
      </c>
      <c r="BX38">
        <v>0</v>
      </c>
      <c r="BY38" t="s">
        <v>1219</v>
      </c>
      <c r="CA38" t="s">
        <v>1220</v>
      </c>
      <c r="CB38" t="s">
        <v>1221</v>
      </c>
      <c r="CC38" t="s">
        <v>1222</v>
      </c>
      <c r="CD38" t="s">
        <v>188</v>
      </c>
      <c r="CE38" t="s">
        <v>1223</v>
      </c>
      <c r="CF38" t="s">
        <v>1224</v>
      </c>
      <c r="CG38" t="s">
        <v>1225</v>
      </c>
      <c r="CI38" t="s">
        <v>1226</v>
      </c>
      <c r="CK38" t="s">
        <v>1227</v>
      </c>
      <c r="CL38" t="s">
        <v>1228</v>
      </c>
      <c r="CM38" t="s">
        <v>1229</v>
      </c>
      <c r="CN38" t="s">
        <v>1230</v>
      </c>
      <c r="CO38" t="s">
        <v>674</v>
      </c>
      <c r="CP38" t="s">
        <v>188</v>
      </c>
      <c r="CQ38" t="s">
        <v>188</v>
      </c>
      <c r="CR38">
        <v>0</v>
      </c>
      <c r="CS38">
        <v>0</v>
      </c>
      <c r="CX38">
        <v>0</v>
      </c>
      <c r="CY38">
        <v>0</v>
      </c>
      <c r="CZ38">
        <v>0</v>
      </c>
      <c r="DA38">
        <v>0</v>
      </c>
      <c r="DC38">
        <v>0</v>
      </c>
      <c r="DD38">
        <v>0</v>
      </c>
      <c r="DQ38" t="s">
        <v>1231</v>
      </c>
      <c r="DR38">
        <v>60</v>
      </c>
      <c r="DS38" t="s">
        <v>1232</v>
      </c>
      <c r="DT38">
        <v>110</v>
      </c>
      <c r="EW38" t="s">
        <v>188</v>
      </c>
      <c r="EX38" t="s">
        <v>188</v>
      </c>
      <c r="EY38" t="s">
        <v>188</v>
      </c>
      <c r="EZ38" t="s">
        <v>188</v>
      </c>
      <c r="FA38">
        <v>4</v>
      </c>
      <c r="FB38" t="s">
        <v>188</v>
      </c>
      <c r="FC38" t="s">
        <v>681</v>
      </c>
      <c r="FD38" t="s">
        <v>682</v>
      </c>
      <c r="FE38">
        <v>1.1111111111111101E+31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 t="s">
        <v>188</v>
      </c>
      <c r="GF38" t="s">
        <v>188</v>
      </c>
      <c r="GG38" t="s">
        <v>188</v>
      </c>
      <c r="GH38" s="1">
        <v>45149</v>
      </c>
      <c r="GJ38" t="s">
        <v>610</v>
      </c>
      <c r="GK38" t="s">
        <v>610</v>
      </c>
      <c r="GL38">
        <v>0</v>
      </c>
      <c r="GM38">
        <v>0</v>
      </c>
      <c r="GN38">
        <v>279.39999999999998</v>
      </c>
      <c r="GO38">
        <v>101.6</v>
      </c>
      <c r="GP38">
        <v>0</v>
      </c>
      <c r="GR38" s="1">
        <v>45162</v>
      </c>
      <c r="GV38" t="s">
        <v>188</v>
      </c>
      <c r="GW38" t="s">
        <v>188</v>
      </c>
      <c r="GX38" t="s">
        <v>188</v>
      </c>
      <c r="GY38" t="s">
        <v>188</v>
      </c>
      <c r="GZ38" t="s">
        <v>188</v>
      </c>
      <c r="HA38" t="s">
        <v>188</v>
      </c>
      <c r="HB38" t="s">
        <v>188</v>
      </c>
      <c r="HC38" t="s">
        <v>188</v>
      </c>
      <c r="HD38" t="s">
        <v>188</v>
      </c>
      <c r="HE38" t="s">
        <v>188</v>
      </c>
      <c r="HH38">
        <v>0</v>
      </c>
      <c r="HI38">
        <v>0</v>
      </c>
      <c r="HJ38">
        <v>70.61</v>
      </c>
      <c r="HK38">
        <v>57.11</v>
      </c>
      <c r="HL38">
        <v>128.72</v>
      </c>
      <c r="HN38" t="s">
        <v>188</v>
      </c>
      <c r="IS38">
        <v>0</v>
      </c>
      <c r="IT38">
        <v>0</v>
      </c>
      <c r="IU38">
        <v>0</v>
      </c>
      <c r="IV38">
        <v>0</v>
      </c>
      <c r="IW38">
        <v>0</v>
      </c>
      <c r="IX38" t="s">
        <v>1233</v>
      </c>
      <c r="IY38">
        <v>0</v>
      </c>
      <c r="IZ38">
        <v>0</v>
      </c>
      <c r="JA38">
        <v>0</v>
      </c>
      <c r="JB38">
        <v>0</v>
      </c>
      <c r="JC38" t="s">
        <v>613</v>
      </c>
      <c r="JD38" t="s">
        <v>1234</v>
      </c>
      <c r="JE38" t="s">
        <v>1235</v>
      </c>
      <c r="JF38">
        <v>0</v>
      </c>
      <c r="JG38" t="s">
        <v>1236</v>
      </c>
      <c r="JH38" t="s">
        <v>188</v>
      </c>
      <c r="JI38">
        <v>0</v>
      </c>
      <c r="JJ38" t="s">
        <v>188</v>
      </c>
      <c r="JK38">
        <v>143.22</v>
      </c>
      <c r="JL38">
        <v>8</v>
      </c>
      <c r="JM38">
        <v>3</v>
      </c>
    </row>
    <row r="39" spans="1:273" x14ac:dyDescent="0.3">
      <c r="A39" t="s">
        <v>1237</v>
      </c>
      <c r="B39" t="s">
        <v>302</v>
      </c>
      <c r="C39" t="s">
        <v>340</v>
      </c>
      <c r="D39" t="s">
        <v>657</v>
      </c>
      <c r="E39" t="s">
        <v>1114</v>
      </c>
      <c r="F39" t="s">
        <v>592</v>
      </c>
      <c r="G39">
        <v>5</v>
      </c>
      <c r="H39" t="s">
        <v>1238</v>
      </c>
      <c r="I39" t="s">
        <v>594</v>
      </c>
      <c r="J39" t="s">
        <v>993</v>
      </c>
      <c r="L39" t="s">
        <v>658</v>
      </c>
      <c r="M39" t="s">
        <v>1239</v>
      </c>
      <c r="N39">
        <v>1</v>
      </c>
      <c r="O39">
        <v>1</v>
      </c>
      <c r="P39">
        <v>1</v>
      </c>
      <c r="Q39">
        <v>8</v>
      </c>
      <c r="R39">
        <v>2</v>
      </c>
      <c r="S39">
        <v>0</v>
      </c>
      <c r="T39">
        <v>0</v>
      </c>
      <c r="U39">
        <v>0</v>
      </c>
      <c r="V39" t="s">
        <v>188</v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 t="s">
        <v>596</v>
      </c>
      <c r="AI39">
        <v>1</v>
      </c>
      <c r="AJ39" t="s">
        <v>199</v>
      </c>
      <c r="AK39">
        <v>1</v>
      </c>
      <c r="AL39">
        <v>104</v>
      </c>
      <c r="AM39">
        <v>650</v>
      </c>
      <c r="AN39">
        <v>0</v>
      </c>
      <c r="AO39">
        <v>0</v>
      </c>
      <c r="AP39">
        <v>0</v>
      </c>
      <c r="AQ39">
        <v>900</v>
      </c>
      <c r="AR39">
        <v>84.3</v>
      </c>
      <c r="AS39">
        <v>60</v>
      </c>
      <c r="AT39">
        <v>80.52</v>
      </c>
      <c r="AU39">
        <v>0</v>
      </c>
      <c r="AV39">
        <v>0</v>
      </c>
      <c r="AW39">
        <v>555.19000000000005</v>
      </c>
      <c r="AX39">
        <v>67.02</v>
      </c>
      <c r="AY39">
        <v>453.06</v>
      </c>
      <c r="AZ39">
        <v>10.89</v>
      </c>
      <c r="BA39">
        <v>84.3</v>
      </c>
      <c r="BB39">
        <v>0</v>
      </c>
      <c r="BC39">
        <v>29</v>
      </c>
      <c r="BD39">
        <v>112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300</v>
      </c>
      <c r="BN39">
        <v>900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900</v>
      </c>
      <c r="BV39">
        <v>762</v>
      </c>
      <c r="BW39" t="s">
        <v>188</v>
      </c>
      <c r="BX39">
        <v>0</v>
      </c>
      <c r="BY39" t="s">
        <v>1237</v>
      </c>
      <c r="CA39">
        <v>900</v>
      </c>
      <c r="CB39">
        <v>84.3</v>
      </c>
      <c r="CC39">
        <v>650</v>
      </c>
      <c r="CD39" t="s">
        <v>188</v>
      </c>
      <c r="CE39" t="s">
        <v>1240</v>
      </c>
      <c r="CF39" t="s">
        <v>1241</v>
      </c>
      <c r="CG39" t="s">
        <v>1242</v>
      </c>
      <c r="CI39" t="s">
        <v>1243</v>
      </c>
      <c r="CK39">
        <v>25</v>
      </c>
      <c r="CL39" t="s">
        <v>1244</v>
      </c>
      <c r="CM39" t="s">
        <v>1245</v>
      </c>
      <c r="CN39" t="s">
        <v>1246</v>
      </c>
      <c r="CO39">
        <v>0</v>
      </c>
      <c r="CP39" t="s">
        <v>188</v>
      </c>
      <c r="CQ39" t="s">
        <v>188</v>
      </c>
      <c r="CR39">
        <v>86</v>
      </c>
      <c r="CS39">
        <v>0</v>
      </c>
      <c r="CX39">
        <v>0</v>
      </c>
      <c r="CY39">
        <v>2100</v>
      </c>
      <c r="CZ39">
        <v>0</v>
      </c>
      <c r="DA39">
        <v>0</v>
      </c>
      <c r="DB39" t="s">
        <v>1247</v>
      </c>
      <c r="DC39">
        <v>0</v>
      </c>
      <c r="DD39">
        <v>0</v>
      </c>
      <c r="DI39" t="s">
        <v>1248</v>
      </c>
      <c r="DJ39" t="s">
        <v>1249</v>
      </c>
      <c r="DK39">
        <v>250</v>
      </c>
      <c r="DQ39" t="s">
        <v>703</v>
      </c>
      <c r="DR39">
        <v>600</v>
      </c>
      <c r="DS39" t="s">
        <v>1165</v>
      </c>
      <c r="DT39">
        <v>900</v>
      </c>
      <c r="EW39" t="s">
        <v>188</v>
      </c>
      <c r="EX39" t="s">
        <v>188</v>
      </c>
      <c r="EY39" t="s">
        <v>188</v>
      </c>
      <c r="EZ39" t="s">
        <v>188</v>
      </c>
      <c r="FA39">
        <v>4</v>
      </c>
      <c r="FB39" t="s">
        <v>188</v>
      </c>
      <c r="FE39">
        <v>1111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 t="s">
        <v>188</v>
      </c>
      <c r="GF39" t="s">
        <v>188</v>
      </c>
      <c r="GG39" t="s">
        <v>188</v>
      </c>
      <c r="GH39" s="1">
        <v>44872</v>
      </c>
      <c r="GI39" t="s">
        <v>608</v>
      </c>
      <c r="GJ39" t="s">
        <v>609</v>
      </c>
      <c r="GK39" t="s">
        <v>610</v>
      </c>
      <c r="GL39">
        <v>0</v>
      </c>
      <c r="GM39">
        <v>0</v>
      </c>
      <c r="GN39">
        <v>304.8</v>
      </c>
      <c r="GO39">
        <v>254</v>
      </c>
      <c r="GP39">
        <v>0</v>
      </c>
      <c r="GR39" s="1">
        <v>44875</v>
      </c>
      <c r="GV39" t="s">
        <v>188</v>
      </c>
      <c r="GW39" t="s">
        <v>188</v>
      </c>
      <c r="GX39" t="s">
        <v>188</v>
      </c>
      <c r="GY39" t="s">
        <v>188</v>
      </c>
      <c r="GZ39" t="s">
        <v>188</v>
      </c>
      <c r="HA39" t="s">
        <v>188</v>
      </c>
      <c r="HB39" t="s">
        <v>188</v>
      </c>
      <c r="HC39" t="s">
        <v>188</v>
      </c>
      <c r="HD39" t="s">
        <v>188</v>
      </c>
      <c r="HE39" t="s">
        <v>188</v>
      </c>
      <c r="HH39">
        <v>0</v>
      </c>
      <c r="HI39">
        <v>0</v>
      </c>
      <c r="HJ39">
        <v>84.7</v>
      </c>
      <c r="HK39">
        <v>58.69</v>
      </c>
      <c r="HL39">
        <v>500.64</v>
      </c>
      <c r="HN39" t="s">
        <v>188</v>
      </c>
      <c r="IS39">
        <v>0</v>
      </c>
      <c r="IT39">
        <v>0</v>
      </c>
      <c r="IU39">
        <v>0</v>
      </c>
      <c r="IV39">
        <v>0</v>
      </c>
      <c r="IW39">
        <v>0</v>
      </c>
      <c r="IX39" t="s">
        <v>1250</v>
      </c>
      <c r="IY39">
        <v>0</v>
      </c>
      <c r="IZ39">
        <v>0</v>
      </c>
      <c r="JA39">
        <v>0</v>
      </c>
      <c r="JB39">
        <v>0</v>
      </c>
      <c r="JC39" t="s">
        <v>613</v>
      </c>
      <c r="JD39" t="s">
        <v>1251</v>
      </c>
      <c r="JE39" t="s">
        <v>791</v>
      </c>
      <c r="JF39">
        <v>0</v>
      </c>
      <c r="JH39" t="s">
        <v>188</v>
      </c>
      <c r="JI39">
        <v>0</v>
      </c>
      <c r="JJ39" t="s">
        <v>188</v>
      </c>
      <c r="JK39">
        <v>490.2</v>
      </c>
      <c r="JL39">
        <v>0</v>
      </c>
      <c r="JM39">
        <v>1</v>
      </c>
    </row>
    <row r="40" spans="1:273" x14ac:dyDescent="0.3">
      <c r="A40" t="s">
        <v>1252</v>
      </c>
      <c r="B40" t="s">
        <v>302</v>
      </c>
      <c r="C40" t="s">
        <v>340</v>
      </c>
      <c r="D40" t="s">
        <v>657</v>
      </c>
      <c r="E40" t="s">
        <v>1114</v>
      </c>
      <c r="F40" t="s">
        <v>659</v>
      </c>
      <c r="G40">
        <v>5</v>
      </c>
      <c r="H40" t="s">
        <v>1253</v>
      </c>
      <c r="I40" t="s">
        <v>594</v>
      </c>
      <c r="J40" t="s">
        <v>993</v>
      </c>
      <c r="L40" t="s">
        <v>658</v>
      </c>
      <c r="M40" t="s">
        <v>1254</v>
      </c>
      <c r="N40">
        <v>1</v>
      </c>
      <c r="O40">
        <v>1</v>
      </c>
      <c r="P40">
        <v>1</v>
      </c>
      <c r="Q40">
        <v>8</v>
      </c>
      <c r="R40">
        <v>2</v>
      </c>
      <c r="S40">
        <v>0</v>
      </c>
      <c r="T40">
        <v>0</v>
      </c>
      <c r="U40">
        <v>0</v>
      </c>
      <c r="V40" t="s">
        <v>188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 t="s">
        <v>596</v>
      </c>
      <c r="AI40">
        <v>1</v>
      </c>
      <c r="AJ40" t="s">
        <v>199</v>
      </c>
      <c r="AK40">
        <v>1</v>
      </c>
      <c r="AL40">
        <v>80</v>
      </c>
      <c r="AM40">
        <v>488</v>
      </c>
      <c r="AN40">
        <v>0</v>
      </c>
      <c r="AO40">
        <v>0</v>
      </c>
      <c r="AP40">
        <v>0</v>
      </c>
      <c r="AQ40">
        <v>425</v>
      </c>
      <c r="AR40">
        <v>44.9</v>
      </c>
      <c r="AS40">
        <v>34</v>
      </c>
      <c r="AT40">
        <v>81.150000000000006</v>
      </c>
      <c r="AU40">
        <v>0</v>
      </c>
      <c r="AV40">
        <v>0</v>
      </c>
      <c r="AW40">
        <v>430.35</v>
      </c>
      <c r="AX40">
        <v>36.42</v>
      </c>
      <c r="AY40">
        <v>189.36</v>
      </c>
      <c r="AZ40">
        <v>7.06</v>
      </c>
      <c r="BA40">
        <v>44.9</v>
      </c>
      <c r="BB40">
        <v>0</v>
      </c>
      <c r="BC40">
        <v>31</v>
      </c>
      <c r="BD40">
        <v>106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300</v>
      </c>
      <c r="BN40">
        <v>700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700</v>
      </c>
      <c r="BV40">
        <v>762</v>
      </c>
      <c r="BW40" t="s">
        <v>188</v>
      </c>
      <c r="BX40">
        <v>0</v>
      </c>
      <c r="BY40" t="s">
        <v>1254</v>
      </c>
      <c r="CA40">
        <v>700</v>
      </c>
      <c r="CB40">
        <v>44.9</v>
      </c>
      <c r="CC40">
        <v>488</v>
      </c>
      <c r="CD40" t="s">
        <v>188</v>
      </c>
      <c r="CE40" t="s">
        <v>1255</v>
      </c>
      <c r="CF40" t="s">
        <v>1256</v>
      </c>
      <c r="CG40" t="s">
        <v>1257</v>
      </c>
      <c r="CI40" t="s">
        <v>1258</v>
      </c>
      <c r="CK40">
        <v>25</v>
      </c>
      <c r="CL40" t="s">
        <v>1259</v>
      </c>
      <c r="CM40" t="s">
        <v>1260</v>
      </c>
      <c r="CN40" t="s">
        <v>1261</v>
      </c>
      <c r="CO40">
        <v>0</v>
      </c>
      <c r="CP40" t="s">
        <v>188</v>
      </c>
      <c r="CQ40" t="s">
        <v>188</v>
      </c>
      <c r="CR40">
        <v>86</v>
      </c>
      <c r="CS40">
        <v>0</v>
      </c>
      <c r="CT40" t="s">
        <v>1262</v>
      </c>
      <c r="CX40">
        <v>0</v>
      </c>
      <c r="CY40">
        <v>2100</v>
      </c>
      <c r="CZ40">
        <v>0</v>
      </c>
      <c r="DA40">
        <v>0</v>
      </c>
      <c r="DB40" t="s">
        <v>1263</v>
      </c>
      <c r="DC40">
        <v>0</v>
      </c>
      <c r="DD40">
        <v>0</v>
      </c>
      <c r="DI40" t="s">
        <v>1248</v>
      </c>
      <c r="DJ40" t="s">
        <v>1264</v>
      </c>
      <c r="DK40">
        <v>250</v>
      </c>
      <c r="DQ40" t="s">
        <v>1196</v>
      </c>
      <c r="DR40">
        <v>260</v>
      </c>
      <c r="DS40" t="s">
        <v>1197</v>
      </c>
      <c r="DT40">
        <v>425</v>
      </c>
      <c r="EW40" t="s">
        <v>188</v>
      </c>
      <c r="EX40" t="s">
        <v>188</v>
      </c>
      <c r="EY40" t="s">
        <v>188</v>
      </c>
      <c r="EZ40" t="s">
        <v>188</v>
      </c>
      <c r="FA40">
        <v>4</v>
      </c>
      <c r="FB40" t="s">
        <v>188</v>
      </c>
      <c r="FE40">
        <v>1.11111111111111E+35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 t="s">
        <v>188</v>
      </c>
      <c r="GF40" t="s">
        <v>188</v>
      </c>
      <c r="GG40" t="s">
        <v>188</v>
      </c>
      <c r="GH40" s="1">
        <v>44648</v>
      </c>
      <c r="GI40" t="s">
        <v>608</v>
      </c>
      <c r="GJ40" t="s">
        <v>609</v>
      </c>
      <c r="GK40" t="s">
        <v>610</v>
      </c>
      <c r="GL40">
        <v>0</v>
      </c>
      <c r="GM40">
        <v>0</v>
      </c>
      <c r="GN40">
        <v>304.8</v>
      </c>
      <c r="GO40">
        <v>254</v>
      </c>
      <c r="GP40">
        <v>0</v>
      </c>
      <c r="GQ40" t="s">
        <v>611</v>
      </c>
      <c r="GR40" s="1">
        <v>44869</v>
      </c>
      <c r="GV40" t="s">
        <v>188</v>
      </c>
      <c r="GW40" t="s">
        <v>188</v>
      </c>
      <c r="GX40" t="s">
        <v>188</v>
      </c>
      <c r="GY40" t="s">
        <v>188</v>
      </c>
      <c r="GZ40" t="s">
        <v>188</v>
      </c>
      <c r="HA40" t="s">
        <v>188</v>
      </c>
      <c r="HB40" t="s">
        <v>188</v>
      </c>
      <c r="HC40" t="s">
        <v>188</v>
      </c>
      <c r="HD40" t="s">
        <v>188</v>
      </c>
      <c r="HE40" t="s">
        <v>188</v>
      </c>
      <c r="HH40">
        <v>0</v>
      </c>
      <c r="HI40">
        <v>0</v>
      </c>
      <c r="HJ40">
        <v>44.59</v>
      </c>
      <c r="HK40">
        <v>32.729999999999997</v>
      </c>
      <c r="HL40">
        <v>213.47</v>
      </c>
      <c r="HN40" t="s">
        <v>188</v>
      </c>
      <c r="IS40">
        <v>0</v>
      </c>
      <c r="IT40">
        <v>0</v>
      </c>
      <c r="IU40">
        <v>0</v>
      </c>
      <c r="IV40">
        <v>0</v>
      </c>
      <c r="IW40">
        <v>0</v>
      </c>
      <c r="IX40" t="s">
        <v>1265</v>
      </c>
      <c r="IY40">
        <v>0</v>
      </c>
      <c r="IZ40">
        <v>0</v>
      </c>
      <c r="JA40">
        <v>0</v>
      </c>
      <c r="JB40">
        <v>0</v>
      </c>
      <c r="JC40" t="s">
        <v>613</v>
      </c>
      <c r="JD40" t="s">
        <v>1266</v>
      </c>
      <c r="JE40" t="s">
        <v>791</v>
      </c>
      <c r="JF40">
        <v>0</v>
      </c>
      <c r="JH40" t="s">
        <v>188</v>
      </c>
      <c r="JI40">
        <v>0</v>
      </c>
      <c r="JJ40" t="s">
        <v>188</v>
      </c>
      <c r="JK40">
        <v>203.33</v>
      </c>
      <c r="JL40">
        <v>0</v>
      </c>
      <c r="JM40">
        <v>1</v>
      </c>
    </row>
    <row r="41" spans="1:273" x14ac:dyDescent="0.3">
      <c r="A41" t="s">
        <v>1267</v>
      </c>
      <c r="B41" t="s">
        <v>302</v>
      </c>
      <c r="C41" t="s">
        <v>340</v>
      </c>
      <c r="D41" t="s">
        <v>657</v>
      </c>
      <c r="E41" t="s">
        <v>1114</v>
      </c>
      <c r="F41" t="s">
        <v>592</v>
      </c>
      <c r="G41">
        <v>5</v>
      </c>
      <c r="H41" t="s">
        <v>1238</v>
      </c>
      <c r="I41" t="s">
        <v>594</v>
      </c>
      <c r="J41" t="s">
        <v>993</v>
      </c>
      <c r="L41" t="s">
        <v>658</v>
      </c>
      <c r="M41" t="s">
        <v>1239</v>
      </c>
      <c r="N41">
        <v>1</v>
      </c>
      <c r="O41">
        <v>1</v>
      </c>
      <c r="P41">
        <v>1</v>
      </c>
      <c r="Q41">
        <v>8</v>
      </c>
      <c r="R41">
        <v>2</v>
      </c>
      <c r="S41">
        <v>0</v>
      </c>
      <c r="T41">
        <v>0</v>
      </c>
      <c r="U41">
        <v>0</v>
      </c>
      <c r="V41" t="s">
        <v>188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 t="s">
        <v>596</v>
      </c>
      <c r="AI41">
        <v>1</v>
      </c>
      <c r="AJ41" t="s">
        <v>199</v>
      </c>
      <c r="AK41">
        <v>1</v>
      </c>
      <c r="AL41">
        <v>104</v>
      </c>
      <c r="AM41">
        <v>650</v>
      </c>
      <c r="AN41">
        <v>0</v>
      </c>
      <c r="AO41">
        <v>0</v>
      </c>
      <c r="AP41">
        <v>0</v>
      </c>
      <c r="AQ41">
        <v>425</v>
      </c>
      <c r="AR41">
        <v>84.3</v>
      </c>
      <c r="AS41">
        <v>60</v>
      </c>
      <c r="AT41">
        <v>80.52</v>
      </c>
      <c r="AU41">
        <v>0</v>
      </c>
      <c r="AV41">
        <v>0</v>
      </c>
      <c r="AW41">
        <v>555.19000000000005</v>
      </c>
      <c r="AX41">
        <v>67.02</v>
      </c>
      <c r="AY41">
        <v>453.06</v>
      </c>
      <c r="AZ41">
        <v>10.89</v>
      </c>
      <c r="BA41">
        <v>84.3</v>
      </c>
      <c r="BB41">
        <v>0</v>
      </c>
      <c r="BC41">
        <v>29</v>
      </c>
      <c r="BD41">
        <v>112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300</v>
      </c>
      <c r="BN41">
        <v>900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900</v>
      </c>
      <c r="BV41">
        <v>762</v>
      </c>
      <c r="BW41" t="s">
        <v>188</v>
      </c>
      <c r="BX41">
        <v>0</v>
      </c>
      <c r="BY41" t="s">
        <v>1239</v>
      </c>
      <c r="CA41">
        <v>900</v>
      </c>
      <c r="CB41">
        <v>84.3</v>
      </c>
      <c r="CC41">
        <v>650</v>
      </c>
      <c r="CD41" t="s">
        <v>188</v>
      </c>
      <c r="CE41" t="s">
        <v>1240</v>
      </c>
      <c r="CF41" t="s">
        <v>1241</v>
      </c>
      <c r="CG41" t="s">
        <v>1242</v>
      </c>
      <c r="CI41" t="s">
        <v>1243</v>
      </c>
      <c r="CK41">
        <v>25</v>
      </c>
      <c r="CL41" t="s">
        <v>1244</v>
      </c>
      <c r="CM41" t="s">
        <v>1245</v>
      </c>
      <c r="CN41" t="s">
        <v>1246</v>
      </c>
      <c r="CO41">
        <v>0</v>
      </c>
      <c r="CP41" t="s">
        <v>188</v>
      </c>
      <c r="CQ41" t="s">
        <v>188</v>
      </c>
      <c r="CR41">
        <v>86</v>
      </c>
      <c r="CS41">
        <v>0</v>
      </c>
      <c r="CT41" t="s">
        <v>1262</v>
      </c>
      <c r="CX41">
        <v>0</v>
      </c>
      <c r="CY41">
        <v>2100</v>
      </c>
      <c r="CZ41">
        <v>0</v>
      </c>
      <c r="DA41">
        <v>0</v>
      </c>
      <c r="DB41" t="s">
        <v>1268</v>
      </c>
      <c r="DC41">
        <v>0</v>
      </c>
      <c r="DD41">
        <v>0</v>
      </c>
      <c r="DI41" t="s">
        <v>1248</v>
      </c>
      <c r="DJ41" t="s">
        <v>1269</v>
      </c>
      <c r="DK41">
        <v>250</v>
      </c>
      <c r="DQ41" t="s">
        <v>1196</v>
      </c>
      <c r="DR41">
        <v>260</v>
      </c>
      <c r="DS41" t="s">
        <v>1197</v>
      </c>
      <c r="DT41">
        <v>425</v>
      </c>
      <c r="EW41" t="s">
        <v>188</v>
      </c>
      <c r="EX41" t="s">
        <v>188</v>
      </c>
      <c r="EY41" t="s">
        <v>188</v>
      </c>
      <c r="EZ41" t="s">
        <v>188</v>
      </c>
      <c r="FA41">
        <v>4</v>
      </c>
      <c r="FB41" t="s">
        <v>188</v>
      </c>
      <c r="FE41">
        <v>1.11111111111111E+27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 t="s">
        <v>188</v>
      </c>
      <c r="GF41" t="s">
        <v>188</v>
      </c>
      <c r="GG41" t="s">
        <v>188</v>
      </c>
      <c r="GH41" s="1">
        <v>44648</v>
      </c>
      <c r="GI41" t="s">
        <v>608</v>
      </c>
      <c r="GJ41" t="s">
        <v>609</v>
      </c>
      <c r="GK41" t="s">
        <v>610</v>
      </c>
      <c r="GL41">
        <v>0</v>
      </c>
      <c r="GM41">
        <v>0</v>
      </c>
      <c r="GN41">
        <v>304.8</v>
      </c>
      <c r="GO41">
        <v>254</v>
      </c>
      <c r="GP41">
        <v>0</v>
      </c>
      <c r="GQ41" t="s">
        <v>611</v>
      </c>
      <c r="GR41" s="1">
        <v>44872</v>
      </c>
      <c r="GV41" t="s">
        <v>188</v>
      </c>
      <c r="GW41" t="s">
        <v>188</v>
      </c>
      <c r="GX41" t="s">
        <v>188</v>
      </c>
      <c r="GY41" t="s">
        <v>188</v>
      </c>
      <c r="GZ41" t="s">
        <v>188</v>
      </c>
      <c r="HA41" t="s">
        <v>188</v>
      </c>
      <c r="HB41" t="s">
        <v>188</v>
      </c>
      <c r="HC41" t="s">
        <v>188</v>
      </c>
      <c r="HD41" t="s">
        <v>188</v>
      </c>
      <c r="HE41" t="s">
        <v>188</v>
      </c>
      <c r="HH41">
        <v>0</v>
      </c>
      <c r="HI41">
        <v>0</v>
      </c>
      <c r="HJ41">
        <v>84.7</v>
      </c>
      <c r="HK41">
        <v>58.69</v>
      </c>
      <c r="HL41">
        <v>500.64</v>
      </c>
      <c r="HN41" t="s">
        <v>188</v>
      </c>
      <c r="IS41">
        <v>0</v>
      </c>
      <c r="IT41">
        <v>0</v>
      </c>
      <c r="IU41">
        <v>0</v>
      </c>
      <c r="IV41">
        <v>0</v>
      </c>
      <c r="IW41">
        <v>0</v>
      </c>
      <c r="IX41" t="s">
        <v>1250</v>
      </c>
      <c r="IY41">
        <v>0</v>
      </c>
      <c r="IZ41">
        <v>0</v>
      </c>
      <c r="JA41">
        <v>0</v>
      </c>
      <c r="JB41">
        <v>0</v>
      </c>
      <c r="JC41" t="s">
        <v>613</v>
      </c>
      <c r="JD41" t="s">
        <v>1251</v>
      </c>
      <c r="JE41" t="s">
        <v>791</v>
      </c>
      <c r="JF41">
        <v>0</v>
      </c>
      <c r="JH41" t="s">
        <v>188</v>
      </c>
      <c r="JI41">
        <v>0</v>
      </c>
      <c r="JJ41" t="s">
        <v>188</v>
      </c>
      <c r="JK41">
        <v>490.2</v>
      </c>
      <c r="JL41">
        <v>0</v>
      </c>
      <c r="JM41">
        <v>1</v>
      </c>
    </row>
    <row r="42" spans="1:273" x14ac:dyDescent="0.3">
      <c r="A42" t="s">
        <v>1270</v>
      </c>
      <c r="B42" t="s">
        <v>302</v>
      </c>
      <c r="C42" t="s">
        <v>340</v>
      </c>
      <c r="D42" t="s">
        <v>657</v>
      </c>
      <c r="E42" t="s">
        <v>1114</v>
      </c>
      <c r="F42" t="s">
        <v>659</v>
      </c>
      <c r="G42">
        <v>5</v>
      </c>
      <c r="H42" t="s">
        <v>1253</v>
      </c>
      <c r="I42" t="s">
        <v>594</v>
      </c>
      <c r="J42" t="s">
        <v>993</v>
      </c>
      <c r="L42" t="s">
        <v>658</v>
      </c>
      <c r="M42" t="s">
        <v>1254</v>
      </c>
      <c r="N42">
        <v>1</v>
      </c>
      <c r="O42">
        <v>1</v>
      </c>
      <c r="P42">
        <v>1</v>
      </c>
      <c r="Q42">
        <v>8</v>
      </c>
      <c r="R42">
        <v>2</v>
      </c>
      <c r="S42">
        <v>0</v>
      </c>
      <c r="T42">
        <v>0</v>
      </c>
      <c r="U42">
        <v>0</v>
      </c>
      <c r="V42" t="s">
        <v>188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 t="s">
        <v>596</v>
      </c>
      <c r="AI42">
        <v>1</v>
      </c>
      <c r="AJ42" t="s">
        <v>199</v>
      </c>
      <c r="AK42">
        <v>1</v>
      </c>
      <c r="AL42">
        <v>80</v>
      </c>
      <c r="AM42">
        <v>488</v>
      </c>
      <c r="AN42">
        <v>0</v>
      </c>
      <c r="AO42">
        <v>0</v>
      </c>
      <c r="AP42">
        <v>0</v>
      </c>
      <c r="AQ42">
        <v>425</v>
      </c>
      <c r="AR42">
        <v>44.9</v>
      </c>
      <c r="AS42">
        <v>34</v>
      </c>
      <c r="AT42">
        <v>81.150000000000006</v>
      </c>
      <c r="AU42">
        <v>0</v>
      </c>
      <c r="AV42">
        <v>0</v>
      </c>
      <c r="AW42">
        <v>430.35</v>
      </c>
      <c r="AX42">
        <v>36.42</v>
      </c>
      <c r="AY42">
        <v>189.36</v>
      </c>
      <c r="AZ42">
        <v>7.06</v>
      </c>
      <c r="BA42">
        <v>44.9</v>
      </c>
      <c r="BB42">
        <v>0</v>
      </c>
      <c r="BC42">
        <v>31</v>
      </c>
      <c r="BD42">
        <v>106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300</v>
      </c>
      <c r="BN42">
        <v>700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700</v>
      </c>
      <c r="BV42">
        <v>762</v>
      </c>
      <c r="BW42" t="s">
        <v>188</v>
      </c>
      <c r="BX42">
        <v>0</v>
      </c>
      <c r="BY42" t="s">
        <v>1254</v>
      </c>
      <c r="CA42">
        <v>700</v>
      </c>
      <c r="CB42">
        <v>44.9</v>
      </c>
      <c r="CC42">
        <v>488</v>
      </c>
      <c r="CD42" t="s">
        <v>188</v>
      </c>
      <c r="CE42" t="s">
        <v>1255</v>
      </c>
      <c r="CF42" t="s">
        <v>1256</v>
      </c>
      <c r="CG42" t="s">
        <v>1257</v>
      </c>
      <c r="CI42" t="s">
        <v>1258</v>
      </c>
      <c r="CK42">
        <v>25</v>
      </c>
      <c r="CL42" t="s">
        <v>1259</v>
      </c>
      <c r="CM42" t="s">
        <v>1260</v>
      </c>
      <c r="CN42" t="s">
        <v>1261</v>
      </c>
      <c r="CO42">
        <v>0</v>
      </c>
      <c r="CP42" t="s">
        <v>188</v>
      </c>
      <c r="CQ42" t="s">
        <v>188</v>
      </c>
      <c r="CR42">
        <v>86</v>
      </c>
      <c r="CS42">
        <v>0</v>
      </c>
      <c r="CT42" t="s">
        <v>1262</v>
      </c>
      <c r="CX42">
        <v>0</v>
      </c>
      <c r="CY42">
        <v>2100</v>
      </c>
      <c r="CZ42">
        <v>0</v>
      </c>
      <c r="DA42">
        <v>0</v>
      </c>
      <c r="DB42" t="s">
        <v>1263</v>
      </c>
      <c r="DC42">
        <v>0</v>
      </c>
      <c r="DD42">
        <v>0</v>
      </c>
      <c r="DI42" t="s">
        <v>1248</v>
      </c>
      <c r="DJ42" t="s">
        <v>1264</v>
      </c>
      <c r="DK42">
        <v>250</v>
      </c>
      <c r="DQ42" t="s">
        <v>1196</v>
      </c>
      <c r="DR42">
        <v>260</v>
      </c>
      <c r="DS42" t="s">
        <v>1197</v>
      </c>
      <c r="DT42">
        <v>425</v>
      </c>
      <c r="EW42" t="s">
        <v>188</v>
      </c>
      <c r="EX42" t="s">
        <v>188</v>
      </c>
      <c r="EY42" t="s">
        <v>188</v>
      </c>
      <c r="EZ42" t="s">
        <v>188</v>
      </c>
      <c r="FA42">
        <v>4</v>
      </c>
      <c r="FB42" t="s">
        <v>188</v>
      </c>
      <c r="FE42">
        <v>1.11111111111111E+35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 t="s">
        <v>188</v>
      </c>
      <c r="GF42" t="s">
        <v>188</v>
      </c>
      <c r="GG42" t="s">
        <v>188</v>
      </c>
      <c r="GH42" s="1">
        <v>44648</v>
      </c>
      <c r="GI42" t="s">
        <v>608</v>
      </c>
      <c r="GJ42" t="s">
        <v>609</v>
      </c>
      <c r="GK42" t="s">
        <v>610</v>
      </c>
      <c r="GL42">
        <v>0</v>
      </c>
      <c r="GM42">
        <v>0</v>
      </c>
      <c r="GN42">
        <v>304.8</v>
      </c>
      <c r="GO42">
        <v>254</v>
      </c>
      <c r="GP42">
        <v>0</v>
      </c>
      <c r="GQ42" t="s">
        <v>611</v>
      </c>
      <c r="GR42" s="1">
        <v>44869</v>
      </c>
      <c r="GV42" t="s">
        <v>188</v>
      </c>
      <c r="GW42" t="s">
        <v>188</v>
      </c>
      <c r="GX42" t="s">
        <v>188</v>
      </c>
      <c r="GY42" t="s">
        <v>188</v>
      </c>
      <c r="GZ42" t="s">
        <v>188</v>
      </c>
      <c r="HA42" t="s">
        <v>188</v>
      </c>
      <c r="HB42" t="s">
        <v>188</v>
      </c>
      <c r="HC42" t="s">
        <v>188</v>
      </c>
      <c r="HD42" t="s">
        <v>188</v>
      </c>
      <c r="HE42" t="s">
        <v>188</v>
      </c>
      <c r="HH42">
        <v>0</v>
      </c>
      <c r="HI42">
        <v>0</v>
      </c>
      <c r="HJ42">
        <v>44.59</v>
      </c>
      <c r="HK42">
        <v>32.729999999999997</v>
      </c>
      <c r="HL42">
        <v>213.47</v>
      </c>
      <c r="HN42" t="s">
        <v>188</v>
      </c>
      <c r="IS42">
        <v>0</v>
      </c>
      <c r="IT42">
        <v>0</v>
      </c>
      <c r="IU42">
        <v>0</v>
      </c>
      <c r="IV42">
        <v>0</v>
      </c>
      <c r="IW42">
        <v>0</v>
      </c>
      <c r="IX42" t="s">
        <v>1265</v>
      </c>
      <c r="IY42">
        <v>0</v>
      </c>
      <c r="IZ42">
        <v>0</v>
      </c>
      <c r="JA42">
        <v>0</v>
      </c>
      <c r="JB42">
        <v>0</v>
      </c>
      <c r="JC42" t="s">
        <v>613</v>
      </c>
      <c r="JD42" t="s">
        <v>1266</v>
      </c>
      <c r="JE42" t="s">
        <v>791</v>
      </c>
      <c r="JF42">
        <v>0</v>
      </c>
      <c r="JH42" t="s">
        <v>188</v>
      </c>
      <c r="JI42">
        <v>0</v>
      </c>
      <c r="JJ42" t="s">
        <v>188</v>
      </c>
      <c r="JK42">
        <v>203.33</v>
      </c>
      <c r="JL42">
        <v>0</v>
      </c>
      <c r="JM42">
        <v>1</v>
      </c>
    </row>
    <row r="43" spans="1:273" x14ac:dyDescent="0.3">
      <c r="A43" t="s">
        <v>1271</v>
      </c>
      <c r="B43" t="s">
        <v>302</v>
      </c>
      <c r="C43" t="s">
        <v>340</v>
      </c>
      <c r="D43" t="s">
        <v>657</v>
      </c>
      <c r="E43" t="s">
        <v>1114</v>
      </c>
      <c r="F43" t="s">
        <v>592</v>
      </c>
      <c r="G43">
        <v>5</v>
      </c>
      <c r="H43" t="s">
        <v>1238</v>
      </c>
      <c r="I43" t="s">
        <v>594</v>
      </c>
      <c r="J43" t="s">
        <v>993</v>
      </c>
      <c r="L43" t="s">
        <v>658</v>
      </c>
      <c r="M43" t="s">
        <v>1239</v>
      </c>
      <c r="N43">
        <v>1</v>
      </c>
      <c r="O43">
        <v>1</v>
      </c>
      <c r="P43">
        <v>1</v>
      </c>
      <c r="Q43">
        <v>8</v>
      </c>
      <c r="R43">
        <v>2</v>
      </c>
      <c r="S43">
        <v>0</v>
      </c>
      <c r="T43">
        <v>0</v>
      </c>
      <c r="U43">
        <v>0</v>
      </c>
      <c r="V43" t="s">
        <v>188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 t="s">
        <v>596</v>
      </c>
      <c r="AI43">
        <v>1</v>
      </c>
      <c r="AJ43" t="s">
        <v>199</v>
      </c>
      <c r="AK43">
        <v>1</v>
      </c>
      <c r="AL43">
        <v>104</v>
      </c>
      <c r="AM43">
        <v>650</v>
      </c>
      <c r="AN43">
        <v>0</v>
      </c>
      <c r="AO43">
        <v>0</v>
      </c>
      <c r="AP43">
        <v>0</v>
      </c>
      <c r="AQ43">
        <v>460</v>
      </c>
      <c r="AR43">
        <v>84.3</v>
      </c>
      <c r="AS43">
        <v>60</v>
      </c>
      <c r="AT43">
        <v>80.52</v>
      </c>
      <c r="AU43">
        <v>0</v>
      </c>
      <c r="AV43">
        <v>0</v>
      </c>
      <c r="AW43">
        <v>555.19000000000005</v>
      </c>
      <c r="AX43">
        <v>67.02</v>
      </c>
      <c r="AY43">
        <v>453.06</v>
      </c>
      <c r="AZ43">
        <v>10.89</v>
      </c>
      <c r="BA43">
        <v>84.3</v>
      </c>
      <c r="BB43">
        <v>0</v>
      </c>
      <c r="BC43">
        <v>29</v>
      </c>
      <c r="BD43">
        <v>112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300</v>
      </c>
      <c r="BN43">
        <v>900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900</v>
      </c>
      <c r="BV43">
        <v>762</v>
      </c>
      <c r="BW43" t="s">
        <v>188</v>
      </c>
      <c r="BX43">
        <v>0</v>
      </c>
      <c r="BY43" t="s">
        <v>1271</v>
      </c>
      <c r="CA43">
        <v>900</v>
      </c>
      <c r="CB43">
        <v>84.3</v>
      </c>
      <c r="CC43">
        <v>650</v>
      </c>
      <c r="CD43" t="s">
        <v>188</v>
      </c>
      <c r="CE43" t="s">
        <v>1240</v>
      </c>
      <c r="CF43" t="s">
        <v>1241</v>
      </c>
      <c r="CG43" t="s">
        <v>1242</v>
      </c>
      <c r="CI43" t="s">
        <v>1243</v>
      </c>
      <c r="CK43">
        <v>25</v>
      </c>
      <c r="CL43" t="s">
        <v>1244</v>
      </c>
      <c r="CM43" t="s">
        <v>1245</v>
      </c>
      <c r="CN43" t="s">
        <v>1246</v>
      </c>
      <c r="CO43">
        <v>0</v>
      </c>
      <c r="CP43" t="s">
        <v>188</v>
      </c>
      <c r="CQ43" t="s">
        <v>188</v>
      </c>
      <c r="CR43">
        <v>86</v>
      </c>
      <c r="CS43">
        <v>0</v>
      </c>
      <c r="CX43">
        <v>0</v>
      </c>
      <c r="CY43">
        <v>35</v>
      </c>
      <c r="CZ43">
        <v>0</v>
      </c>
      <c r="DA43">
        <v>0</v>
      </c>
      <c r="DB43" t="s">
        <v>1272</v>
      </c>
      <c r="DC43">
        <v>0</v>
      </c>
      <c r="DD43">
        <v>0</v>
      </c>
      <c r="DI43" t="s">
        <v>1248</v>
      </c>
      <c r="DJ43" t="s">
        <v>1269</v>
      </c>
      <c r="DK43">
        <v>250</v>
      </c>
      <c r="DQ43" t="s">
        <v>1046</v>
      </c>
      <c r="DR43">
        <v>460</v>
      </c>
      <c r="EW43" t="s">
        <v>188</v>
      </c>
      <c r="EX43" t="s">
        <v>188</v>
      </c>
      <c r="EY43" t="s">
        <v>188</v>
      </c>
      <c r="EZ43" t="s">
        <v>188</v>
      </c>
      <c r="FA43">
        <v>4</v>
      </c>
      <c r="FB43" t="s">
        <v>188</v>
      </c>
      <c r="FE43">
        <v>1.11111111111111E+27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 t="s">
        <v>188</v>
      </c>
      <c r="GF43" t="s">
        <v>188</v>
      </c>
      <c r="GG43" t="s">
        <v>188</v>
      </c>
      <c r="GH43" s="1">
        <v>44879</v>
      </c>
      <c r="GI43" t="s">
        <v>608</v>
      </c>
      <c r="GJ43" t="s">
        <v>610</v>
      </c>
      <c r="GK43" t="s">
        <v>812</v>
      </c>
      <c r="GL43">
        <v>0</v>
      </c>
      <c r="GM43">
        <v>0</v>
      </c>
      <c r="GN43">
        <v>304.8</v>
      </c>
      <c r="GO43">
        <v>254</v>
      </c>
      <c r="GP43">
        <v>0</v>
      </c>
      <c r="GR43" s="1">
        <v>45756</v>
      </c>
      <c r="GV43" t="s">
        <v>188</v>
      </c>
      <c r="GW43" t="s">
        <v>188</v>
      </c>
      <c r="GX43" t="s">
        <v>188</v>
      </c>
      <c r="GY43" t="s">
        <v>188</v>
      </c>
      <c r="GZ43" t="s">
        <v>188</v>
      </c>
      <c r="HA43" t="s">
        <v>188</v>
      </c>
      <c r="HB43" t="s">
        <v>188</v>
      </c>
      <c r="HC43" t="s">
        <v>188</v>
      </c>
      <c r="HD43" t="s">
        <v>188</v>
      </c>
      <c r="HE43" t="s">
        <v>188</v>
      </c>
      <c r="HH43">
        <v>0</v>
      </c>
      <c r="HI43">
        <v>0</v>
      </c>
      <c r="HJ43">
        <v>84.7</v>
      </c>
      <c r="HK43">
        <v>58.69</v>
      </c>
      <c r="HL43">
        <v>500.64</v>
      </c>
      <c r="HN43" t="s">
        <v>188</v>
      </c>
      <c r="IS43">
        <v>0</v>
      </c>
      <c r="IT43">
        <v>0</v>
      </c>
      <c r="IU43">
        <v>0</v>
      </c>
      <c r="IV43">
        <v>0</v>
      </c>
      <c r="IW43">
        <v>0</v>
      </c>
      <c r="IX43" t="s">
        <v>1250</v>
      </c>
      <c r="IY43">
        <v>0</v>
      </c>
      <c r="IZ43">
        <v>0</v>
      </c>
      <c r="JA43">
        <v>0</v>
      </c>
      <c r="JB43">
        <v>0</v>
      </c>
      <c r="JC43" t="s">
        <v>613</v>
      </c>
      <c r="JD43" t="s">
        <v>1251</v>
      </c>
      <c r="JE43" t="s">
        <v>791</v>
      </c>
      <c r="JF43">
        <v>0</v>
      </c>
      <c r="JH43" t="s">
        <v>188</v>
      </c>
      <c r="JI43">
        <v>0</v>
      </c>
      <c r="JJ43" t="s">
        <v>188</v>
      </c>
      <c r="JK43">
        <v>490.2</v>
      </c>
      <c r="JL43">
        <v>0</v>
      </c>
      <c r="JM43">
        <v>1</v>
      </c>
    </row>
    <row r="44" spans="1:273" x14ac:dyDescent="0.3">
      <c r="A44" t="s">
        <v>1273</v>
      </c>
      <c r="B44" t="s">
        <v>302</v>
      </c>
      <c r="C44" t="s">
        <v>340</v>
      </c>
      <c r="D44" t="s">
        <v>590</v>
      </c>
      <c r="E44" t="s">
        <v>1114</v>
      </c>
      <c r="F44" t="s">
        <v>592</v>
      </c>
      <c r="G44">
        <v>4</v>
      </c>
      <c r="H44" t="s">
        <v>1274</v>
      </c>
      <c r="J44" t="s">
        <v>661</v>
      </c>
      <c r="N44">
        <v>1</v>
      </c>
      <c r="O44">
        <v>1</v>
      </c>
      <c r="P44">
        <v>1</v>
      </c>
      <c r="Q44">
        <v>11</v>
      </c>
      <c r="R44">
        <v>2</v>
      </c>
      <c r="S44">
        <v>0</v>
      </c>
      <c r="T44">
        <v>0</v>
      </c>
      <c r="U44">
        <v>0</v>
      </c>
      <c r="V44" t="s">
        <v>188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 t="s">
        <v>596</v>
      </c>
      <c r="AI44">
        <v>1</v>
      </c>
      <c r="AJ44" t="s">
        <v>199</v>
      </c>
      <c r="AK44">
        <v>1</v>
      </c>
      <c r="AL44">
        <v>296.8</v>
      </c>
      <c r="AM44">
        <v>1105</v>
      </c>
      <c r="AN44">
        <v>0</v>
      </c>
      <c r="AO44">
        <v>0</v>
      </c>
      <c r="AP44">
        <v>0</v>
      </c>
      <c r="AQ44">
        <v>0</v>
      </c>
      <c r="AR44">
        <v>87.7</v>
      </c>
      <c r="AS44">
        <v>68</v>
      </c>
      <c r="AT44">
        <v>79.290000000000006</v>
      </c>
      <c r="AU44">
        <v>0</v>
      </c>
      <c r="AV44">
        <v>0</v>
      </c>
      <c r="AW44">
        <v>825.65</v>
      </c>
      <c r="AX44">
        <v>76.61</v>
      </c>
      <c r="AY44">
        <v>782.12</v>
      </c>
      <c r="AZ44">
        <v>10.39</v>
      </c>
      <c r="BA44">
        <v>87.7</v>
      </c>
      <c r="BB44">
        <v>0</v>
      </c>
      <c r="BC44">
        <v>25</v>
      </c>
      <c r="BD44">
        <v>110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400</v>
      </c>
      <c r="BN44">
        <v>700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700</v>
      </c>
      <c r="BV44">
        <v>965</v>
      </c>
      <c r="BW44" t="s">
        <v>188</v>
      </c>
      <c r="BX44">
        <v>0</v>
      </c>
      <c r="BY44" t="s">
        <v>1273</v>
      </c>
      <c r="CA44">
        <v>700</v>
      </c>
      <c r="CB44">
        <v>87.7</v>
      </c>
      <c r="CC44">
        <v>1105</v>
      </c>
      <c r="CD44" t="s">
        <v>188</v>
      </c>
      <c r="CE44" t="s">
        <v>1275</v>
      </c>
      <c r="CF44" t="s">
        <v>1276</v>
      </c>
      <c r="CG44" t="s">
        <v>1277</v>
      </c>
      <c r="CI44" t="s">
        <v>1278</v>
      </c>
      <c r="CK44">
        <v>100</v>
      </c>
      <c r="CL44" t="s">
        <v>1279</v>
      </c>
      <c r="CM44" t="s">
        <v>1280</v>
      </c>
      <c r="CN44" t="s">
        <v>1281</v>
      </c>
      <c r="CO44">
        <v>0</v>
      </c>
      <c r="CP44" t="s">
        <v>188</v>
      </c>
      <c r="CQ44" t="s">
        <v>188</v>
      </c>
      <c r="CR44">
        <v>105</v>
      </c>
      <c r="CS44">
        <v>0</v>
      </c>
      <c r="CX44">
        <v>0</v>
      </c>
      <c r="CY44">
        <v>0</v>
      </c>
      <c r="CZ44">
        <v>0</v>
      </c>
      <c r="DA44">
        <v>0</v>
      </c>
      <c r="DC44">
        <v>0</v>
      </c>
      <c r="DD44">
        <v>0</v>
      </c>
      <c r="DJ44" t="s">
        <v>1282</v>
      </c>
      <c r="DQ44" t="s">
        <v>1283</v>
      </c>
      <c r="DR44">
        <v>600</v>
      </c>
      <c r="DS44" t="s">
        <v>1284</v>
      </c>
      <c r="DT44">
        <v>900</v>
      </c>
      <c r="EW44" t="s">
        <v>188</v>
      </c>
      <c r="EX44" t="s">
        <v>188</v>
      </c>
      <c r="EY44" t="s">
        <v>188</v>
      </c>
      <c r="EZ44" t="s">
        <v>188</v>
      </c>
      <c r="FA44">
        <v>4</v>
      </c>
      <c r="FB44" t="s">
        <v>188</v>
      </c>
      <c r="FC44" t="s">
        <v>681</v>
      </c>
      <c r="FD44" t="s">
        <v>682</v>
      </c>
      <c r="FE44">
        <v>1.11111111111111E+27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 t="s">
        <v>188</v>
      </c>
      <c r="GF44" t="s">
        <v>188</v>
      </c>
      <c r="GG44" t="s">
        <v>188</v>
      </c>
      <c r="GH44" s="1">
        <v>45440</v>
      </c>
      <c r="GJ44" t="s">
        <v>812</v>
      </c>
      <c r="GK44" t="s">
        <v>812</v>
      </c>
      <c r="GL44">
        <v>0</v>
      </c>
      <c r="GM44">
        <v>0</v>
      </c>
      <c r="GN44">
        <v>360</v>
      </c>
      <c r="GO44">
        <v>305</v>
      </c>
      <c r="GP44">
        <v>0</v>
      </c>
      <c r="GR44" s="1">
        <v>45440</v>
      </c>
      <c r="GV44" t="s">
        <v>188</v>
      </c>
      <c r="GW44" t="s">
        <v>188</v>
      </c>
      <c r="GX44" t="s">
        <v>188</v>
      </c>
      <c r="GY44" t="s">
        <v>188</v>
      </c>
      <c r="GZ44" t="s">
        <v>188</v>
      </c>
      <c r="HA44" t="s">
        <v>188</v>
      </c>
      <c r="HB44" t="s">
        <v>188</v>
      </c>
      <c r="HC44" t="s">
        <v>188</v>
      </c>
      <c r="HD44" t="s">
        <v>188</v>
      </c>
      <c r="HE44" t="s">
        <v>188</v>
      </c>
      <c r="HH44">
        <v>0</v>
      </c>
      <c r="HI44">
        <v>0</v>
      </c>
      <c r="HJ44">
        <v>86.61</v>
      </c>
      <c r="HK44">
        <v>71.760000000000005</v>
      </c>
      <c r="HL44">
        <v>886.12</v>
      </c>
      <c r="HN44" t="s">
        <v>188</v>
      </c>
      <c r="IS44">
        <v>0</v>
      </c>
      <c r="IT44">
        <v>0</v>
      </c>
      <c r="IU44">
        <v>0</v>
      </c>
      <c r="IV44">
        <v>0</v>
      </c>
      <c r="IW44">
        <v>0</v>
      </c>
      <c r="IX44" t="s">
        <v>1285</v>
      </c>
      <c r="IY44">
        <v>0</v>
      </c>
      <c r="IZ44">
        <v>0</v>
      </c>
      <c r="JA44">
        <v>0</v>
      </c>
      <c r="JB44">
        <v>0</v>
      </c>
      <c r="JC44" t="s">
        <v>613</v>
      </c>
      <c r="JD44" t="s">
        <v>1286</v>
      </c>
      <c r="JE44" t="s">
        <v>1287</v>
      </c>
      <c r="JF44">
        <v>0</v>
      </c>
      <c r="JG44" t="s">
        <v>1288</v>
      </c>
      <c r="JH44" t="s">
        <v>188</v>
      </c>
      <c r="JI44">
        <v>0</v>
      </c>
      <c r="JJ44" t="s">
        <v>188</v>
      </c>
      <c r="JK44">
        <v>956.71</v>
      </c>
      <c r="JL44">
        <v>0</v>
      </c>
      <c r="JM44">
        <v>1</v>
      </c>
    </row>
    <row r="45" spans="1:273" x14ac:dyDescent="0.3">
      <c r="A45" t="s">
        <v>1289</v>
      </c>
      <c r="B45" t="s">
        <v>302</v>
      </c>
      <c r="C45" t="s">
        <v>340</v>
      </c>
      <c r="D45" t="s">
        <v>657</v>
      </c>
      <c r="E45" t="s">
        <v>1114</v>
      </c>
      <c r="F45" t="s">
        <v>592</v>
      </c>
      <c r="G45">
        <v>5</v>
      </c>
      <c r="H45" t="s">
        <v>1290</v>
      </c>
      <c r="I45" t="s">
        <v>594</v>
      </c>
      <c r="J45" t="s">
        <v>993</v>
      </c>
      <c r="L45" t="s">
        <v>658</v>
      </c>
      <c r="M45" t="s">
        <v>1291</v>
      </c>
      <c r="N45">
        <v>1</v>
      </c>
      <c r="O45">
        <v>1</v>
      </c>
      <c r="P45">
        <v>1</v>
      </c>
      <c r="Q45">
        <v>9</v>
      </c>
      <c r="R45">
        <v>2</v>
      </c>
      <c r="S45">
        <v>0</v>
      </c>
      <c r="T45">
        <v>0</v>
      </c>
      <c r="U45">
        <v>0</v>
      </c>
      <c r="V45" t="s">
        <v>188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 t="s">
        <v>596</v>
      </c>
      <c r="AI45">
        <v>1</v>
      </c>
      <c r="AJ45" t="s">
        <v>199</v>
      </c>
      <c r="AK45">
        <v>1</v>
      </c>
      <c r="AL45">
        <v>163</v>
      </c>
      <c r="AM45">
        <v>1140</v>
      </c>
      <c r="AN45">
        <v>0</v>
      </c>
      <c r="AO45">
        <v>0</v>
      </c>
      <c r="AP45">
        <v>0</v>
      </c>
      <c r="AQ45">
        <v>900</v>
      </c>
      <c r="AR45">
        <v>88</v>
      </c>
      <c r="AS45">
        <v>59.4</v>
      </c>
      <c r="AT45">
        <v>76.430000000000007</v>
      </c>
      <c r="AU45">
        <v>0</v>
      </c>
      <c r="AV45">
        <v>0</v>
      </c>
      <c r="AW45">
        <v>817.01</v>
      </c>
      <c r="AX45">
        <v>73.95</v>
      </c>
      <c r="AY45">
        <v>774.98</v>
      </c>
      <c r="AZ45">
        <v>15.24</v>
      </c>
      <c r="BA45">
        <v>88</v>
      </c>
      <c r="BB45">
        <v>0</v>
      </c>
      <c r="BC45">
        <v>25</v>
      </c>
      <c r="BD45">
        <v>82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300</v>
      </c>
      <c r="BN45">
        <v>700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700</v>
      </c>
      <c r="BV45">
        <v>965</v>
      </c>
      <c r="BW45" t="s">
        <v>188</v>
      </c>
      <c r="BX45">
        <v>0</v>
      </c>
      <c r="BY45" t="s">
        <v>1289</v>
      </c>
      <c r="CA45">
        <v>700</v>
      </c>
      <c r="CB45">
        <v>88</v>
      </c>
      <c r="CC45">
        <v>1140</v>
      </c>
      <c r="CD45" t="s">
        <v>188</v>
      </c>
      <c r="CE45" t="s">
        <v>1292</v>
      </c>
      <c r="CF45" t="s">
        <v>1293</v>
      </c>
      <c r="CG45" t="s">
        <v>1294</v>
      </c>
      <c r="CI45" t="s">
        <v>1295</v>
      </c>
      <c r="CK45">
        <v>100</v>
      </c>
      <c r="CL45" t="s">
        <v>1296</v>
      </c>
      <c r="CM45" t="s">
        <v>1297</v>
      </c>
      <c r="CN45" t="s">
        <v>1298</v>
      </c>
      <c r="CO45">
        <v>0</v>
      </c>
      <c r="CP45" t="s">
        <v>188</v>
      </c>
      <c r="CQ45" t="s">
        <v>188</v>
      </c>
      <c r="CR45">
        <v>90</v>
      </c>
      <c r="CS45">
        <v>0</v>
      </c>
      <c r="CX45">
        <v>0</v>
      </c>
      <c r="CY45">
        <v>2100</v>
      </c>
      <c r="CZ45">
        <v>0</v>
      </c>
      <c r="DA45">
        <v>0</v>
      </c>
      <c r="DB45" t="s">
        <v>1299</v>
      </c>
      <c r="DC45">
        <v>0</v>
      </c>
      <c r="DD45">
        <v>0</v>
      </c>
      <c r="DI45" t="s">
        <v>1300</v>
      </c>
      <c r="DJ45" t="s">
        <v>1301</v>
      </c>
      <c r="DK45">
        <v>300</v>
      </c>
      <c r="DQ45" t="s">
        <v>703</v>
      </c>
      <c r="DR45">
        <v>600</v>
      </c>
      <c r="DS45" t="s">
        <v>1165</v>
      </c>
      <c r="DT45">
        <v>900</v>
      </c>
      <c r="EW45" t="s">
        <v>188</v>
      </c>
      <c r="EX45" t="s">
        <v>188</v>
      </c>
      <c r="EY45" t="s">
        <v>188</v>
      </c>
      <c r="EZ45" t="s">
        <v>188</v>
      </c>
      <c r="FA45">
        <v>4</v>
      </c>
      <c r="FB45" t="s">
        <v>188</v>
      </c>
      <c r="FE45">
        <v>1111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 t="s">
        <v>188</v>
      </c>
      <c r="GF45" t="s">
        <v>188</v>
      </c>
      <c r="GG45" t="s">
        <v>188</v>
      </c>
      <c r="GH45" s="1">
        <v>44872</v>
      </c>
      <c r="GI45" t="s">
        <v>608</v>
      </c>
      <c r="GJ45" t="s">
        <v>609</v>
      </c>
      <c r="GK45" t="s">
        <v>610</v>
      </c>
      <c r="GL45">
        <v>0</v>
      </c>
      <c r="GM45">
        <v>0</v>
      </c>
      <c r="GN45">
        <v>355.6</v>
      </c>
      <c r="GO45">
        <v>304.8</v>
      </c>
      <c r="GP45">
        <v>0</v>
      </c>
      <c r="GR45" s="1">
        <v>44875</v>
      </c>
      <c r="GV45" t="s">
        <v>188</v>
      </c>
      <c r="GW45" t="s">
        <v>188</v>
      </c>
      <c r="GX45" t="s">
        <v>188</v>
      </c>
      <c r="GY45" t="s">
        <v>188</v>
      </c>
      <c r="GZ45" t="s">
        <v>188</v>
      </c>
      <c r="HA45" t="s">
        <v>188</v>
      </c>
      <c r="HB45" t="s">
        <v>188</v>
      </c>
      <c r="HC45" t="s">
        <v>188</v>
      </c>
      <c r="HD45" t="s">
        <v>188</v>
      </c>
      <c r="HE45" t="s">
        <v>188</v>
      </c>
      <c r="HH45">
        <v>0</v>
      </c>
      <c r="HI45">
        <v>0</v>
      </c>
      <c r="HJ45">
        <v>88.25</v>
      </c>
      <c r="HK45">
        <v>66.989999999999995</v>
      </c>
      <c r="HL45">
        <v>855.42</v>
      </c>
      <c r="HN45" t="s">
        <v>188</v>
      </c>
      <c r="IS45">
        <v>0</v>
      </c>
      <c r="IT45">
        <v>0</v>
      </c>
      <c r="IU45">
        <v>0</v>
      </c>
      <c r="IV45">
        <v>0</v>
      </c>
      <c r="IW45">
        <v>0</v>
      </c>
      <c r="IX45" t="s">
        <v>1302</v>
      </c>
      <c r="IY45">
        <v>0</v>
      </c>
      <c r="IZ45">
        <v>0</v>
      </c>
      <c r="JA45">
        <v>0</v>
      </c>
      <c r="JB45">
        <v>0</v>
      </c>
      <c r="JC45" t="s">
        <v>613</v>
      </c>
      <c r="JD45" t="s">
        <v>1266</v>
      </c>
      <c r="JE45" t="s">
        <v>791</v>
      </c>
      <c r="JF45">
        <v>0</v>
      </c>
      <c r="JH45" t="s">
        <v>188</v>
      </c>
      <c r="JI45">
        <v>0</v>
      </c>
      <c r="JJ45" t="s">
        <v>188</v>
      </c>
      <c r="JK45">
        <v>948.4</v>
      </c>
      <c r="JL45">
        <v>0</v>
      </c>
      <c r="JM45">
        <v>1</v>
      </c>
    </row>
    <row r="46" spans="1:273" x14ac:dyDescent="0.3">
      <c r="A46" t="s">
        <v>1303</v>
      </c>
      <c r="B46" t="s">
        <v>302</v>
      </c>
      <c r="C46" t="s">
        <v>340</v>
      </c>
      <c r="D46" t="s">
        <v>657</v>
      </c>
      <c r="E46" t="s">
        <v>1114</v>
      </c>
      <c r="F46" t="s">
        <v>659</v>
      </c>
      <c r="G46">
        <v>5</v>
      </c>
      <c r="H46" t="s">
        <v>1304</v>
      </c>
      <c r="I46" t="s">
        <v>594</v>
      </c>
      <c r="J46" t="s">
        <v>993</v>
      </c>
      <c r="L46" t="s">
        <v>658</v>
      </c>
      <c r="M46" t="s">
        <v>1305</v>
      </c>
      <c r="N46">
        <v>1</v>
      </c>
      <c r="O46">
        <v>1</v>
      </c>
      <c r="P46">
        <v>1</v>
      </c>
      <c r="Q46">
        <v>11</v>
      </c>
      <c r="R46">
        <v>2</v>
      </c>
      <c r="S46">
        <v>0</v>
      </c>
      <c r="T46">
        <v>0</v>
      </c>
      <c r="U46">
        <v>0</v>
      </c>
      <c r="V46" t="s">
        <v>188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 t="s">
        <v>188</v>
      </c>
      <c r="AD46">
        <v>0</v>
      </c>
      <c r="AE46">
        <v>0</v>
      </c>
      <c r="AF46">
        <v>0</v>
      </c>
      <c r="AG46">
        <v>0</v>
      </c>
      <c r="AH46" t="s">
        <v>596</v>
      </c>
      <c r="AI46">
        <v>1</v>
      </c>
      <c r="AJ46" t="s">
        <v>199</v>
      </c>
      <c r="AK46">
        <v>1</v>
      </c>
      <c r="AL46">
        <v>125</v>
      </c>
      <c r="AM46">
        <v>888.5</v>
      </c>
      <c r="AN46">
        <v>0</v>
      </c>
      <c r="AO46">
        <v>0</v>
      </c>
      <c r="AP46">
        <v>0</v>
      </c>
      <c r="AQ46">
        <v>425</v>
      </c>
      <c r="AR46">
        <v>47</v>
      </c>
      <c r="AS46">
        <v>31.8</v>
      </c>
      <c r="AT46">
        <v>78.3</v>
      </c>
      <c r="AU46">
        <v>0</v>
      </c>
      <c r="AV46">
        <v>0</v>
      </c>
      <c r="AW46">
        <v>645.15</v>
      </c>
      <c r="AX46">
        <v>38.76</v>
      </c>
      <c r="AY46">
        <v>313.08999999999997</v>
      </c>
      <c r="AZ46">
        <v>7.29</v>
      </c>
      <c r="BA46">
        <v>47</v>
      </c>
      <c r="BB46">
        <v>0</v>
      </c>
      <c r="BC46">
        <v>26</v>
      </c>
      <c r="BD46">
        <v>91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300</v>
      </c>
      <c r="BN46">
        <v>500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500</v>
      </c>
      <c r="BV46">
        <v>965</v>
      </c>
      <c r="BW46" t="s">
        <v>188</v>
      </c>
      <c r="BX46">
        <v>0</v>
      </c>
      <c r="BY46" t="s">
        <v>1303</v>
      </c>
      <c r="CA46">
        <v>500</v>
      </c>
      <c r="CB46">
        <v>47</v>
      </c>
      <c r="CC46">
        <v>888.5</v>
      </c>
      <c r="CD46" t="s">
        <v>188</v>
      </c>
      <c r="CE46" t="s">
        <v>1306</v>
      </c>
      <c r="CF46" t="s">
        <v>1307</v>
      </c>
      <c r="CG46" t="s">
        <v>1308</v>
      </c>
      <c r="CI46" t="s">
        <v>1309</v>
      </c>
      <c r="CK46">
        <v>25</v>
      </c>
      <c r="CL46" t="s">
        <v>1310</v>
      </c>
      <c r="CM46" t="s">
        <v>1311</v>
      </c>
      <c r="CN46" t="s">
        <v>1312</v>
      </c>
      <c r="CO46">
        <v>0</v>
      </c>
      <c r="CP46" t="s">
        <v>188</v>
      </c>
      <c r="CQ46" t="s">
        <v>188</v>
      </c>
      <c r="CR46">
        <v>104</v>
      </c>
      <c r="CS46">
        <v>0</v>
      </c>
      <c r="CX46">
        <v>0</v>
      </c>
      <c r="CY46">
        <v>2100</v>
      </c>
      <c r="CZ46">
        <v>0</v>
      </c>
      <c r="DA46">
        <v>0</v>
      </c>
      <c r="DB46" t="s">
        <v>1313</v>
      </c>
      <c r="DC46">
        <v>0</v>
      </c>
      <c r="DD46">
        <v>0</v>
      </c>
      <c r="DJ46" t="s">
        <v>1314</v>
      </c>
      <c r="DK46">
        <v>300</v>
      </c>
      <c r="DQ46" t="s">
        <v>703</v>
      </c>
      <c r="DR46">
        <v>600</v>
      </c>
      <c r="DS46" t="s">
        <v>1165</v>
      </c>
      <c r="DT46">
        <v>900</v>
      </c>
      <c r="EW46" t="s">
        <v>188</v>
      </c>
      <c r="EX46" t="s">
        <v>188</v>
      </c>
      <c r="EY46" t="s">
        <v>188</v>
      </c>
      <c r="EZ46" t="s">
        <v>188</v>
      </c>
      <c r="FA46">
        <v>4</v>
      </c>
      <c r="FB46" t="s">
        <v>188</v>
      </c>
      <c r="FE46">
        <v>1111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 t="s">
        <v>188</v>
      </c>
      <c r="GF46" t="s">
        <v>188</v>
      </c>
      <c r="GG46" t="s">
        <v>188</v>
      </c>
      <c r="GH46" s="1">
        <v>44875</v>
      </c>
      <c r="GI46" t="s">
        <v>608</v>
      </c>
      <c r="GJ46" t="s">
        <v>610</v>
      </c>
      <c r="GK46" t="s">
        <v>610</v>
      </c>
      <c r="GL46">
        <v>0</v>
      </c>
      <c r="GM46">
        <v>0</v>
      </c>
      <c r="GN46">
        <v>355.6</v>
      </c>
      <c r="GO46">
        <v>304.8</v>
      </c>
      <c r="GP46">
        <v>0</v>
      </c>
      <c r="GR46" s="1">
        <v>44875</v>
      </c>
      <c r="GV46" t="s">
        <v>188</v>
      </c>
      <c r="GW46" t="s">
        <v>188</v>
      </c>
      <c r="GX46" t="s">
        <v>188</v>
      </c>
      <c r="GY46" t="s">
        <v>188</v>
      </c>
      <c r="GZ46" t="s">
        <v>188</v>
      </c>
      <c r="HA46" t="s">
        <v>188</v>
      </c>
      <c r="HB46" t="s">
        <v>188</v>
      </c>
      <c r="HC46" t="s">
        <v>188</v>
      </c>
      <c r="HD46" t="s">
        <v>188</v>
      </c>
      <c r="HE46" t="s">
        <v>188</v>
      </c>
      <c r="HH46">
        <v>0</v>
      </c>
      <c r="HI46">
        <v>0</v>
      </c>
      <c r="HJ46">
        <v>46.54</v>
      </c>
      <c r="HK46">
        <v>35.36</v>
      </c>
      <c r="HL46">
        <v>350.51</v>
      </c>
      <c r="HN46" t="s">
        <v>188</v>
      </c>
      <c r="IS46">
        <v>0</v>
      </c>
      <c r="IT46">
        <v>0</v>
      </c>
      <c r="IU46">
        <v>0</v>
      </c>
      <c r="IV46">
        <v>0</v>
      </c>
      <c r="IW46">
        <v>0</v>
      </c>
      <c r="IX46" t="s">
        <v>1315</v>
      </c>
      <c r="IY46">
        <v>0</v>
      </c>
      <c r="IZ46">
        <v>0</v>
      </c>
      <c r="JA46">
        <v>0</v>
      </c>
      <c r="JB46">
        <v>0</v>
      </c>
      <c r="JC46" t="s">
        <v>613</v>
      </c>
      <c r="JD46" t="s">
        <v>1316</v>
      </c>
      <c r="JE46" t="s">
        <v>791</v>
      </c>
      <c r="JF46">
        <v>0</v>
      </c>
      <c r="JH46" t="s">
        <v>188</v>
      </c>
      <c r="JI46">
        <v>0</v>
      </c>
      <c r="JJ46" t="s">
        <v>188</v>
      </c>
      <c r="JK46">
        <v>395.72</v>
      </c>
      <c r="JL46">
        <v>0</v>
      </c>
      <c r="JM46">
        <v>1</v>
      </c>
    </row>
    <row r="47" spans="1:273" x14ac:dyDescent="0.3">
      <c r="A47" t="s">
        <v>1317</v>
      </c>
      <c r="B47" t="s">
        <v>302</v>
      </c>
      <c r="C47" t="s">
        <v>340</v>
      </c>
      <c r="D47" t="s">
        <v>657</v>
      </c>
      <c r="E47" t="s">
        <v>1114</v>
      </c>
      <c r="F47" t="s">
        <v>592</v>
      </c>
      <c r="G47">
        <v>5</v>
      </c>
      <c r="H47" t="s">
        <v>1290</v>
      </c>
      <c r="I47" t="s">
        <v>594</v>
      </c>
      <c r="J47" t="s">
        <v>993</v>
      </c>
      <c r="L47" t="s">
        <v>658</v>
      </c>
      <c r="M47" t="s">
        <v>1291</v>
      </c>
      <c r="N47">
        <v>1</v>
      </c>
      <c r="O47">
        <v>1</v>
      </c>
      <c r="P47">
        <v>1</v>
      </c>
      <c r="Q47">
        <v>9</v>
      </c>
      <c r="R47">
        <v>2</v>
      </c>
      <c r="S47">
        <v>0</v>
      </c>
      <c r="T47">
        <v>0</v>
      </c>
      <c r="U47">
        <v>0</v>
      </c>
      <c r="V47" t="s">
        <v>188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 t="s">
        <v>596</v>
      </c>
      <c r="AI47">
        <v>1</v>
      </c>
      <c r="AJ47" t="s">
        <v>199</v>
      </c>
      <c r="AK47">
        <v>1</v>
      </c>
      <c r="AL47">
        <v>163</v>
      </c>
      <c r="AM47">
        <v>1140</v>
      </c>
      <c r="AN47">
        <v>0</v>
      </c>
      <c r="AO47">
        <v>0</v>
      </c>
      <c r="AP47">
        <v>0</v>
      </c>
      <c r="AQ47">
        <v>900</v>
      </c>
      <c r="AR47">
        <v>88</v>
      </c>
      <c r="AS47">
        <v>59.4</v>
      </c>
      <c r="AT47">
        <v>76.430000000000007</v>
      </c>
      <c r="AU47">
        <v>0</v>
      </c>
      <c r="AV47">
        <v>0</v>
      </c>
      <c r="AW47">
        <v>817.01</v>
      </c>
      <c r="AX47">
        <v>73.95</v>
      </c>
      <c r="AY47">
        <v>774.98</v>
      </c>
      <c r="AZ47">
        <v>15.24</v>
      </c>
      <c r="BA47">
        <v>88</v>
      </c>
      <c r="BB47">
        <v>0</v>
      </c>
      <c r="BC47">
        <v>25</v>
      </c>
      <c r="BD47">
        <v>82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300</v>
      </c>
      <c r="BN47">
        <v>700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700</v>
      </c>
      <c r="BV47">
        <v>965</v>
      </c>
      <c r="BW47" t="s">
        <v>188</v>
      </c>
      <c r="BX47">
        <v>0</v>
      </c>
      <c r="BY47" t="s">
        <v>1289</v>
      </c>
      <c r="CA47">
        <v>700</v>
      </c>
      <c r="CB47">
        <v>88</v>
      </c>
      <c r="CC47">
        <v>1140</v>
      </c>
      <c r="CD47" t="s">
        <v>188</v>
      </c>
      <c r="CE47" t="s">
        <v>1292</v>
      </c>
      <c r="CF47" t="s">
        <v>1293</v>
      </c>
      <c r="CG47" t="s">
        <v>1294</v>
      </c>
      <c r="CI47" t="s">
        <v>1295</v>
      </c>
      <c r="CK47">
        <v>100</v>
      </c>
      <c r="CL47" t="s">
        <v>1296</v>
      </c>
      <c r="CM47" t="s">
        <v>1297</v>
      </c>
      <c r="CN47" t="s">
        <v>1298</v>
      </c>
      <c r="CO47">
        <v>0</v>
      </c>
      <c r="CP47" t="s">
        <v>188</v>
      </c>
      <c r="CQ47" t="s">
        <v>188</v>
      </c>
      <c r="CR47">
        <v>90</v>
      </c>
      <c r="CS47">
        <v>0</v>
      </c>
      <c r="CX47">
        <v>0</v>
      </c>
      <c r="CY47">
        <v>2100</v>
      </c>
      <c r="CZ47">
        <v>0</v>
      </c>
      <c r="DA47">
        <v>0</v>
      </c>
      <c r="DB47" t="s">
        <v>1299</v>
      </c>
      <c r="DC47">
        <v>0</v>
      </c>
      <c r="DD47">
        <v>0</v>
      </c>
      <c r="DI47" t="s">
        <v>1300</v>
      </c>
      <c r="DJ47" t="s">
        <v>1301</v>
      </c>
      <c r="DK47">
        <v>300</v>
      </c>
      <c r="DQ47" t="s">
        <v>1196</v>
      </c>
      <c r="DR47">
        <v>260</v>
      </c>
      <c r="DS47" t="s">
        <v>1197</v>
      </c>
      <c r="DT47">
        <v>425</v>
      </c>
      <c r="EW47" t="s">
        <v>188</v>
      </c>
      <c r="EX47" t="s">
        <v>188</v>
      </c>
      <c r="EY47" t="s">
        <v>188</v>
      </c>
      <c r="EZ47" t="s">
        <v>188</v>
      </c>
      <c r="FA47">
        <v>4</v>
      </c>
      <c r="FB47" t="s">
        <v>188</v>
      </c>
      <c r="FE47">
        <v>1111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 t="s">
        <v>188</v>
      </c>
      <c r="GF47" t="s">
        <v>188</v>
      </c>
      <c r="GG47" t="s">
        <v>188</v>
      </c>
      <c r="GH47" s="1">
        <v>44872</v>
      </c>
      <c r="GI47" t="s">
        <v>608</v>
      </c>
      <c r="GJ47" t="s">
        <v>609</v>
      </c>
      <c r="GK47" t="s">
        <v>610</v>
      </c>
      <c r="GL47">
        <v>0</v>
      </c>
      <c r="GM47">
        <v>0</v>
      </c>
      <c r="GN47">
        <v>355.6</v>
      </c>
      <c r="GO47">
        <v>304.8</v>
      </c>
      <c r="GP47">
        <v>0</v>
      </c>
      <c r="GR47" s="1">
        <v>45176</v>
      </c>
      <c r="GV47" t="s">
        <v>188</v>
      </c>
      <c r="GW47" t="s">
        <v>188</v>
      </c>
      <c r="GX47" t="s">
        <v>188</v>
      </c>
      <c r="GY47" t="s">
        <v>188</v>
      </c>
      <c r="GZ47" t="s">
        <v>188</v>
      </c>
      <c r="HA47" t="s">
        <v>188</v>
      </c>
      <c r="HB47" t="s">
        <v>188</v>
      </c>
      <c r="HC47" t="s">
        <v>188</v>
      </c>
      <c r="HD47" t="s">
        <v>188</v>
      </c>
      <c r="HE47" t="s">
        <v>188</v>
      </c>
      <c r="HH47">
        <v>0</v>
      </c>
      <c r="HI47">
        <v>0</v>
      </c>
      <c r="HJ47">
        <v>88.25</v>
      </c>
      <c r="HK47">
        <v>66.989999999999995</v>
      </c>
      <c r="HL47">
        <v>855.42</v>
      </c>
      <c r="HN47" t="s">
        <v>188</v>
      </c>
      <c r="IS47">
        <v>0</v>
      </c>
      <c r="IT47">
        <v>0</v>
      </c>
      <c r="IU47">
        <v>0</v>
      </c>
      <c r="IV47">
        <v>0</v>
      </c>
      <c r="IW47">
        <v>0</v>
      </c>
      <c r="IX47" t="s">
        <v>1302</v>
      </c>
      <c r="IY47">
        <v>0</v>
      </c>
      <c r="IZ47">
        <v>0</v>
      </c>
      <c r="JA47">
        <v>0</v>
      </c>
      <c r="JB47">
        <v>0</v>
      </c>
      <c r="JC47" t="s">
        <v>613</v>
      </c>
      <c r="JD47" t="s">
        <v>1266</v>
      </c>
      <c r="JE47" t="s">
        <v>791</v>
      </c>
      <c r="JF47">
        <v>0</v>
      </c>
      <c r="JH47" t="s">
        <v>188</v>
      </c>
      <c r="JI47">
        <v>0</v>
      </c>
      <c r="JJ47" t="s">
        <v>188</v>
      </c>
      <c r="JK47">
        <v>948.4</v>
      </c>
      <c r="JL47">
        <v>0</v>
      </c>
      <c r="JM47">
        <v>1</v>
      </c>
    </row>
    <row r="48" spans="1:273" x14ac:dyDescent="0.3">
      <c r="A48" t="s">
        <v>1318</v>
      </c>
      <c r="B48" t="s">
        <v>302</v>
      </c>
      <c r="C48" t="s">
        <v>340</v>
      </c>
      <c r="D48" t="s">
        <v>657</v>
      </c>
      <c r="E48" t="s">
        <v>1114</v>
      </c>
      <c r="F48" t="s">
        <v>659</v>
      </c>
      <c r="G48">
        <v>5</v>
      </c>
      <c r="H48" t="s">
        <v>1304</v>
      </c>
      <c r="I48" t="s">
        <v>594</v>
      </c>
      <c r="J48" t="s">
        <v>993</v>
      </c>
      <c r="L48" t="s">
        <v>658</v>
      </c>
      <c r="M48" t="s">
        <v>1305</v>
      </c>
      <c r="N48">
        <v>1</v>
      </c>
      <c r="O48">
        <v>1</v>
      </c>
      <c r="P48">
        <v>1</v>
      </c>
      <c r="Q48">
        <v>11</v>
      </c>
      <c r="R48">
        <v>2</v>
      </c>
      <c r="S48">
        <v>0</v>
      </c>
      <c r="T48">
        <v>0</v>
      </c>
      <c r="U48">
        <v>0</v>
      </c>
      <c r="V48" t="s">
        <v>188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 t="s">
        <v>596</v>
      </c>
      <c r="AI48">
        <v>1</v>
      </c>
      <c r="AJ48" t="s">
        <v>199</v>
      </c>
      <c r="AK48">
        <v>1</v>
      </c>
      <c r="AL48">
        <v>125</v>
      </c>
      <c r="AM48">
        <v>888.5</v>
      </c>
      <c r="AN48">
        <v>0</v>
      </c>
      <c r="AO48">
        <v>0</v>
      </c>
      <c r="AP48">
        <v>0</v>
      </c>
      <c r="AQ48">
        <v>425</v>
      </c>
      <c r="AR48">
        <v>47</v>
      </c>
      <c r="AS48">
        <v>31.8</v>
      </c>
      <c r="AT48">
        <v>78.3</v>
      </c>
      <c r="AU48">
        <v>0</v>
      </c>
      <c r="AV48">
        <v>0</v>
      </c>
      <c r="AW48">
        <v>645.15</v>
      </c>
      <c r="AX48">
        <v>38.76</v>
      </c>
      <c r="AY48">
        <v>313.08999999999997</v>
      </c>
      <c r="AZ48">
        <v>7.29</v>
      </c>
      <c r="BA48">
        <v>47</v>
      </c>
      <c r="BB48">
        <v>0</v>
      </c>
      <c r="BC48">
        <v>26</v>
      </c>
      <c r="BD48">
        <v>91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300</v>
      </c>
      <c r="BN48">
        <v>500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500</v>
      </c>
      <c r="BV48">
        <v>965</v>
      </c>
      <c r="BW48" t="s">
        <v>188</v>
      </c>
      <c r="BX48">
        <v>0</v>
      </c>
      <c r="BY48" t="s">
        <v>1305</v>
      </c>
      <c r="CA48">
        <v>500</v>
      </c>
      <c r="CB48">
        <v>47</v>
      </c>
      <c r="CC48">
        <v>888.5</v>
      </c>
      <c r="CD48" t="s">
        <v>188</v>
      </c>
      <c r="CE48" t="s">
        <v>1306</v>
      </c>
      <c r="CF48" t="s">
        <v>1307</v>
      </c>
      <c r="CG48" t="s">
        <v>1308</v>
      </c>
      <c r="CI48" t="s">
        <v>1309</v>
      </c>
      <c r="CK48">
        <v>25</v>
      </c>
      <c r="CL48" t="s">
        <v>1310</v>
      </c>
      <c r="CM48" t="s">
        <v>1311</v>
      </c>
      <c r="CN48" t="s">
        <v>1312</v>
      </c>
      <c r="CO48">
        <v>0</v>
      </c>
      <c r="CP48" t="s">
        <v>188</v>
      </c>
      <c r="CQ48" t="s">
        <v>188</v>
      </c>
      <c r="CR48">
        <v>104</v>
      </c>
      <c r="CS48">
        <v>0</v>
      </c>
      <c r="CT48" t="s">
        <v>1319</v>
      </c>
      <c r="CX48">
        <v>0</v>
      </c>
      <c r="CY48">
        <v>2100</v>
      </c>
      <c r="CZ48">
        <v>0</v>
      </c>
      <c r="DA48">
        <v>0</v>
      </c>
      <c r="DB48" t="s">
        <v>1320</v>
      </c>
      <c r="DC48">
        <v>0</v>
      </c>
      <c r="DD48">
        <v>0</v>
      </c>
      <c r="DJ48" t="s">
        <v>1321</v>
      </c>
      <c r="DK48">
        <v>300</v>
      </c>
      <c r="DQ48" t="s">
        <v>1196</v>
      </c>
      <c r="DR48">
        <v>260</v>
      </c>
      <c r="DS48" t="s">
        <v>1197</v>
      </c>
      <c r="DT48">
        <v>425</v>
      </c>
      <c r="EW48" t="s">
        <v>188</v>
      </c>
      <c r="EX48" t="s">
        <v>188</v>
      </c>
      <c r="EY48" t="s">
        <v>188</v>
      </c>
      <c r="EZ48" t="s">
        <v>188</v>
      </c>
      <c r="FA48">
        <v>4</v>
      </c>
      <c r="FB48" t="s">
        <v>188</v>
      </c>
      <c r="FE48">
        <v>1.1111111111111099E+23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 t="s">
        <v>188</v>
      </c>
      <c r="GF48" t="s">
        <v>188</v>
      </c>
      <c r="GG48" t="s">
        <v>188</v>
      </c>
      <c r="GH48" s="1">
        <v>44648</v>
      </c>
      <c r="GI48" t="s">
        <v>608</v>
      </c>
      <c r="GJ48" t="s">
        <v>609</v>
      </c>
      <c r="GK48" t="s">
        <v>610</v>
      </c>
      <c r="GL48">
        <v>0</v>
      </c>
      <c r="GM48">
        <v>0</v>
      </c>
      <c r="GN48">
        <v>355.6</v>
      </c>
      <c r="GO48">
        <v>304.8</v>
      </c>
      <c r="GP48">
        <v>0</v>
      </c>
      <c r="GQ48" t="s">
        <v>611</v>
      </c>
      <c r="GR48" s="1">
        <v>44872</v>
      </c>
      <c r="GV48" t="s">
        <v>188</v>
      </c>
      <c r="GW48" t="s">
        <v>188</v>
      </c>
      <c r="GX48" t="s">
        <v>188</v>
      </c>
      <c r="GY48" t="s">
        <v>188</v>
      </c>
      <c r="GZ48" t="s">
        <v>188</v>
      </c>
      <c r="HA48" t="s">
        <v>188</v>
      </c>
      <c r="HB48" t="s">
        <v>188</v>
      </c>
      <c r="HC48" t="s">
        <v>188</v>
      </c>
      <c r="HD48" t="s">
        <v>188</v>
      </c>
      <c r="HE48" t="s">
        <v>188</v>
      </c>
      <c r="HH48">
        <v>0</v>
      </c>
      <c r="HI48">
        <v>0</v>
      </c>
      <c r="HJ48">
        <v>46.54</v>
      </c>
      <c r="HK48">
        <v>35.36</v>
      </c>
      <c r="HL48">
        <v>350.51</v>
      </c>
      <c r="HN48" t="s">
        <v>188</v>
      </c>
      <c r="IS48">
        <v>0</v>
      </c>
      <c r="IT48">
        <v>0</v>
      </c>
      <c r="IU48">
        <v>0</v>
      </c>
      <c r="IV48">
        <v>0</v>
      </c>
      <c r="IW48">
        <v>0</v>
      </c>
      <c r="IX48" t="s">
        <v>1315</v>
      </c>
      <c r="IY48">
        <v>0</v>
      </c>
      <c r="IZ48">
        <v>0</v>
      </c>
      <c r="JA48">
        <v>0</v>
      </c>
      <c r="JB48">
        <v>0</v>
      </c>
      <c r="JC48" t="s">
        <v>613</v>
      </c>
      <c r="JD48" t="s">
        <v>1316</v>
      </c>
      <c r="JE48" t="s">
        <v>791</v>
      </c>
      <c r="JF48">
        <v>0</v>
      </c>
      <c r="JH48" t="s">
        <v>188</v>
      </c>
      <c r="JI48">
        <v>0</v>
      </c>
      <c r="JJ48" t="s">
        <v>188</v>
      </c>
      <c r="JK48">
        <v>395.72</v>
      </c>
      <c r="JL48">
        <v>0</v>
      </c>
      <c r="JM48">
        <v>1</v>
      </c>
    </row>
    <row r="49" spans="1:273" x14ac:dyDescent="0.3">
      <c r="A49" t="s">
        <v>1322</v>
      </c>
      <c r="B49" t="s">
        <v>302</v>
      </c>
      <c r="C49" t="s">
        <v>340</v>
      </c>
      <c r="D49" t="s">
        <v>657</v>
      </c>
      <c r="E49" t="s">
        <v>1114</v>
      </c>
      <c r="F49" t="s">
        <v>592</v>
      </c>
      <c r="G49">
        <v>5</v>
      </c>
      <c r="H49" t="s">
        <v>1290</v>
      </c>
      <c r="I49" t="s">
        <v>594</v>
      </c>
      <c r="J49" t="s">
        <v>993</v>
      </c>
      <c r="L49" t="s">
        <v>658</v>
      </c>
      <c r="M49" t="s">
        <v>1291</v>
      </c>
      <c r="N49">
        <v>1</v>
      </c>
      <c r="O49">
        <v>1</v>
      </c>
      <c r="P49">
        <v>1</v>
      </c>
      <c r="Q49">
        <v>9</v>
      </c>
      <c r="R49">
        <v>2</v>
      </c>
      <c r="S49">
        <v>0</v>
      </c>
      <c r="T49">
        <v>0</v>
      </c>
      <c r="U49">
        <v>0</v>
      </c>
      <c r="V49" t="s">
        <v>188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 t="s">
        <v>596</v>
      </c>
      <c r="AI49">
        <v>1</v>
      </c>
      <c r="AJ49" t="s">
        <v>199</v>
      </c>
      <c r="AK49">
        <v>1</v>
      </c>
      <c r="AL49">
        <v>163</v>
      </c>
      <c r="AM49">
        <v>1140</v>
      </c>
      <c r="AN49">
        <v>0</v>
      </c>
      <c r="AO49">
        <v>0</v>
      </c>
      <c r="AP49">
        <v>0</v>
      </c>
      <c r="AQ49">
        <v>900</v>
      </c>
      <c r="AR49">
        <v>88</v>
      </c>
      <c r="AS49">
        <v>59.4</v>
      </c>
      <c r="AT49">
        <v>76.430000000000007</v>
      </c>
      <c r="AU49">
        <v>0</v>
      </c>
      <c r="AV49">
        <v>0</v>
      </c>
      <c r="AW49">
        <v>817.01</v>
      </c>
      <c r="AX49">
        <v>73.95</v>
      </c>
      <c r="AY49">
        <v>774.98</v>
      </c>
      <c r="AZ49">
        <v>15.24</v>
      </c>
      <c r="BA49">
        <v>88</v>
      </c>
      <c r="BB49">
        <v>0</v>
      </c>
      <c r="BC49">
        <v>25</v>
      </c>
      <c r="BD49">
        <v>82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300</v>
      </c>
      <c r="BN49">
        <v>700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700</v>
      </c>
      <c r="BV49">
        <v>965</v>
      </c>
      <c r="BW49" t="s">
        <v>188</v>
      </c>
      <c r="BX49">
        <v>0</v>
      </c>
      <c r="BY49" t="s">
        <v>1322</v>
      </c>
      <c r="CA49">
        <v>700</v>
      </c>
      <c r="CB49">
        <v>88</v>
      </c>
      <c r="CC49">
        <v>1140</v>
      </c>
      <c r="CD49" t="s">
        <v>188</v>
      </c>
      <c r="CE49" t="s">
        <v>1292</v>
      </c>
      <c r="CF49" t="s">
        <v>1293</v>
      </c>
      <c r="CG49" t="s">
        <v>1294</v>
      </c>
      <c r="CI49" t="s">
        <v>1295</v>
      </c>
      <c r="CK49">
        <v>100</v>
      </c>
      <c r="CL49" t="s">
        <v>1296</v>
      </c>
      <c r="CM49" t="s">
        <v>1297</v>
      </c>
      <c r="CN49" t="s">
        <v>1298</v>
      </c>
      <c r="CO49">
        <v>0</v>
      </c>
      <c r="CP49" t="s">
        <v>188</v>
      </c>
      <c r="CQ49" t="s">
        <v>188</v>
      </c>
      <c r="CR49">
        <v>90</v>
      </c>
      <c r="CS49">
        <v>0</v>
      </c>
      <c r="CX49">
        <v>0</v>
      </c>
      <c r="CY49">
        <v>35</v>
      </c>
      <c r="CZ49">
        <v>0</v>
      </c>
      <c r="DA49">
        <v>0</v>
      </c>
      <c r="DB49" t="s">
        <v>1323</v>
      </c>
      <c r="DC49">
        <v>0</v>
      </c>
      <c r="DD49">
        <v>0</v>
      </c>
      <c r="DI49" t="s">
        <v>1300</v>
      </c>
      <c r="DJ49" t="s">
        <v>1301</v>
      </c>
      <c r="DK49">
        <v>300</v>
      </c>
      <c r="DQ49" t="s">
        <v>1324</v>
      </c>
      <c r="DR49">
        <v>600</v>
      </c>
      <c r="EW49" t="s">
        <v>188</v>
      </c>
      <c r="EX49" t="s">
        <v>188</v>
      </c>
      <c r="EY49" t="s">
        <v>188</v>
      </c>
      <c r="EZ49" t="s">
        <v>188</v>
      </c>
      <c r="FA49">
        <v>4</v>
      </c>
      <c r="FB49" t="s">
        <v>188</v>
      </c>
      <c r="FE49">
        <v>1.11111111111111E+35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 t="s">
        <v>188</v>
      </c>
      <c r="GF49" t="s">
        <v>188</v>
      </c>
      <c r="GG49" t="s">
        <v>188</v>
      </c>
      <c r="GH49" s="1">
        <v>44876</v>
      </c>
      <c r="GI49" t="s">
        <v>608</v>
      </c>
      <c r="GJ49" t="s">
        <v>610</v>
      </c>
      <c r="GK49" t="s">
        <v>610</v>
      </c>
      <c r="GL49">
        <v>0</v>
      </c>
      <c r="GM49">
        <v>0</v>
      </c>
      <c r="GN49">
        <v>355.6</v>
      </c>
      <c r="GO49">
        <v>304.8</v>
      </c>
      <c r="GP49">
        <v>0</v>
      </c>
      <c r="GR49" s="1">
        <v>44879</v>
      </c>
      <c r="GV49" t="s">
        <v>188</v>
      </c>
      <c r="GW49" t="s">
        <v>188</v>
      </c>
      <c r="GX49" t="s">
        <v>188</v>
      </c>
      <c r="GY49" t="s">
        <v>188</v>
      </c>
      <c r="GZ49" t="s">
        <v>188</v>
      </c>
      <c r="HA49" t="s">
        <v>188</v>
      </c>
      <c r="HB49" t="s">
        <v>188</v>
      </c>
      <c r="HC49" t="s">
        <v>188</v>
      </c>
      <c r="HD49" t="s">
        <v>188</v>
      </c>
      <c r="HE49" t="s">
        <v>188</v>
      </c>
      <c r="HH49">
        <v>0</v>
      </c>
      <c r="HI49">
        <v>0</v>
      </c>
      <c r="HJ49">
        <v>88.25</v>
      </c>
      <c r="HK49">
        <v>66.989999999999995</v>
      </c>
      <c r="HL49">
        <v>855.42</v>
      </c>
      <c r="HN49" t="s">
        <v>188</v>
      </c>
      <c r="IS49">
        <v>0</v>
      </c>
      <c r="IT49">
        <v>0</v>
      </c>
      <c r="IU49">
        <v>0</v>
      </c>
      <c r="IV49">
        <v>0</v>
      </c>
      <c r="IW49">
        <v>0</v>
      </c>
      <c r="IX49" t="s">
        <v>1302</v>
      </c>
      <c r="IY49">
        <v>0</v>
      </c>
      <c r="IZ49">
        <v>0</v>
      </c>
      <c r="JA49">
        <v>0</v>
      </c>
      <c r="JB49">
        <v>0</v>
      </c>
      <c r="JC49" t="s">
        <v>613</v>
      </c>
      <c r="JD49" t="s">
        <v>1266</v>
      </c>
      <c r="JE49" t="s">
        <v>791</v>
      </c>
      <c r="JF49">
        <v>0</v>
      </c>
      <c r="JH49" t="s">
        <v>188</v>
      </c>
      <c r="JI49">
        <v>0</v>
      </c>
      <c r="JJ49" t="s">
        <v>188</v>
      </c>
      <c r="JK49">
        <v>948.4</v>
      </c>
      <c r="JL49">
        <v>0</v>
      </c>
      <c r="JM49">
        <v>1</v>
      </c>
    </row>
    <row r="50" spans="1:273" x14ac:dyDescent="0.3">
      <c r="A50" t="s">
        <v>1325</v>
      </c>
      <c r="B50" t="s">
        <v>302</v>
      </c>
      <c r="C50" t="s">
        <v>340</v>
      </c>
      <c r="D50" t="s">
        <v>590</v>
      </c>
      <c r="E50" t="s">
        <v>1114</v>
      </c>
      <c r="F50" t="s">
        <v>592</v>
      </c>
      <c r="G50">
        <v>4</v>
      </c>
      <c r="H50" t="s">
        <v>1326</v>
      </c>
      <c r="I50" t="s">
        <v>594</v>
      </c>
      <c r="J50" t="s">
        <v>661</v>
      </c>
      <c r="N50">
        <v>3</v>
      </c>
      <c r="O50">
        <v>3</v>
      </c>
      <c r="P50">
        <v>1</v>
      </c>
      <c r="Q50">
        <v>11</v>
      </c>
      <c r="R50">
        <v>2</v>
      </c>
      <c r="S50">
        <v>0</v>
      </c>
      <c r="T50">
        <v>0</v>
      </c>
      <c r="U50">
        <v>0</v>
      </c>
      <c r="V50" t="s">
        <v>188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 t="s">
        <v>596</v>
      </c>
      <c r="AI50">
        <v>1</v>
      </c>
      <c r="AJ50" t="s">
        <v>199</v>
      </c>
      <c r="AK50">
        <v>1</v>
      </c>
      <c r="AL50">
        <v>37.700000000000003</v>
      </c>
      <c r="AM50">
        <v>306.10000000000002</v>
      </c>
      <c r="AN50">
        <v>0</v>
      </c>
      <c r="AO50">
        <v>0</v>
      </c>
      <c r="AP50">
        <v>0</v>
      </c>
      <c r="AQ50">
        <v>0</v>
      </c>
      <c r="AR50">
        <v>39.1</v>
      </c>
      <c r="AS50">
        <v>6.7</v>
      </c>
      <c r="AT50">
        <v>67.45</v>
      </c>
      <c r="AU50">
        <v>0</v>
      </c>
      <c r="AV50">
        <v>0</v>
      </c>
      <c r="AW50">
        <v>228.85</v>
      </c>
      <c r="AX50">
        <v>32.92</v>
      </c>
      <c r="AY50">
        <v>109.51</v>
      </c>
      <c r="AZ50">
        <v>4.2</v>
      </c>
      <c r="BA50">
        <v>39.1</v>
      </c>
      <c r="BB50">
        <v>0</v>
      </c>
      <c r="BC50">
        <v>30</v>
      </c>
      <c r="BD50">
        <v>139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450</v>
      </c>
      <c r="BN50">
        <v>850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850</v>
      </c>
      <c r="BV50">
        <v>552</v>
      </c>
      <c r="BW50" t="s">
        <v>188</v>
      </c>
      <c r="BX50">
        <v>0</v>
      </c>
      <c r="BY50" t="s">
        <v>1327</v>
      </c>
      <c r="CA50" t="s">
        <v>1328</v>
      </c>
      <c r="CB50" t="s">
        <v>1329</v>
      </c>
      <c r="CC50" t="s">
        <v>1330</v>
      </c>
      <c r="CD50" t="s">
        <v>188</v>
      </c>
      <c r="CE50" t="s">
        <v>1331</v>
      </c>
      <c r="CF50" t="s">
        <v>1332</v>
      </c>
      <c r="CG50" t="s">
        <v>1333</v>
      </c>
      <c r="CI50" t="s">
        <v>1334</v>
      </c>
      <c r="CK50" t="s">
        <v>802</v>
      </c>
      <c r="CL50" t="s">
        <v>1335</v>
      </c>
      <c r="CM50" t="s">
        <v>1336</v>
      </c>
      <c r="CN50" t="s">
        <v>1337</v>
      </c>
      <c r="CO50" t="s">
        <v>674</v>
      </c>
      <c r="CP50" t="s">
        <v>188</v>
      </c>
      <c r="CQ50" t="s">
        <v>188</v>
      </c>
      <c r="CR50">
        <v>0</v>
      </c>
      <c r="CS50">
        <v>0</v>
      </c>
      <c r="CX50">
        <v>0</v>
      </c>
      <c r="CY50">
        <v>0</v>
      </c>
      <c r="CZ50">
        <v>0</v>
      </c>
      <c r="DA50">
        <v>0</v>
      </c>
      <c r="DC50">
        <v>0</v>
      </c>
      <c r="DD50">
        <v>0</v>
      </c>
      <c r="DQ50" t="s">
        <v>1338</v>
      </c>
      <c r="DR50">
        <v>110</v>
      </c>
      <c r="DS50" t="s">
        <v>1339</v>
      </c>
      <c r="DT50">
        <v>225</v>
      </c>
      <c r="EW50" t="s">
        <v>188</v>
      </c>
      <c r="EX50" t="s">
        <v>188</v>
      </c>
      <c r="EY50" t="s">
        <v>188</v>
      </c>
      <c r="EZ50" t="s">
        <v>188</v>
      </c>
      <c r="FA50">
        <v>4</v>
      </c>
      <c r="FB50" t="s">
        <v>188</v>
      </c>
      <c r="FC50" t="s">
        <v>681</v>
      </c>
      <c r="FD50" t="s">
        <v>682</v>
      </c>
      <c r="FE50">
        <v>111111111111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 t="s">
        <v>188</v>
      </c>
      <c r="GF50" t="s">
        <v>188</v>
      </c>
      <c r="GG50" t="s">
        <v>188</v>
      </c>
      <c r="GH50" s="1">
        <v>45149</v>
      </c>
      <c r="GJ50" t="s">
        <v>610</v>
      </c>
      <c r="GK50" t="s">
        <v>610</v>
      </c>
      <c r="GL50">
        <v>0</v>
      </c>
      <c r="GM50">
        <v>0</v>
      </c>
      <c r="GN50">
        <v>371</v>
      </c>
      <c r="GO50">
        <v>152</v>
      </c>
      <c r="GP50">
        <v>0</v>
      </c>
      <c r="GR50" s="1">
        <v>45162</v>
      </c>
      <c r="GV50" t="s">
        <v>188</v>
      </c>
      <c r="GW50" t="s">
        <v>188</v>
      </c>
      <c r="GX50" t="s">
        <v>188</v>
      </c>
      <c r="GY50" t="s">
        <v>188</v>
      </c>
      <c r="GZ50" t="s">
        <v>188</v>
      </c>
      <c r="HA50" t="s">
        <v>188</v>
      </c>
      <c r="HB50" t="s">
        <v>188</v>
      </c>
      <c r="HC50" t="s">
        <v>188</v>
      </c>
      <c r="HD50" t="s">
        <v>188</v>
      </c>
      <c r="HE50" t="s">
        <v>188</v>
      </c>
      <c r="HH50">
        <v>0</v>
      </c>
      <c r="HI50">
        <v>0</v>
      </c>
      <c r="HJ50">
        <v>37.590000000000003</v>
      </c>
      <c r="HK50">
        <v>29.5</v>
      </c>
      <c r="HL50">
        <v>121.98</v>
      </c>
      <c r="HN50" t="s">
        <v>188</v>
      </c>
      <c r="IS50">
        <v>0</v>
      </c>
      <c r="IT50">
        <v>0</v>
      </c>
      <c r="IU50">
        <v>0</v>
      </c>
      <c r="IV50">
        <v>0</v>
      </c>
      <c r="IW50">
        <v>0</v>
      </c>
      <c r="IX50" t="s">
        <v>1340</v>
      </c>
      <c r="IY50">
        <v>0</v>
      </c>
      <c r="IZ50">
        <v>0</v>
      </c>
      <c r="JA50">
        <v>0</v>
      </c>
      <c r="JB50">
        <v>0</v>
      </c>
      <c r="JC50" t="s">
        <v>613</v>
      </c>
      <c r="JD50" t="s">
        <v>1341</v>
      </c>
      <c r="JE50" t="s">
        <v>1342</v>
      </c>
      <c r="JF50">
        <v>0</v>
      </c>
      <c r="JG50" t="s">
        <v>1343</v>
      </c>
      <c r="JH50" t="s">
        <v>188</v>
      </c>
      <c r="JI50">
        <v>0</v>
      </c>
      <c r="JJ50" t="s">
        <v>188</v>
      </c>
      <c r="JK50">
        <v>131.04</v>
      </c>
      <c r="JL50">
        <v>5.5</v>
      </c>
      <c r="JM50">
        <v>3</v>
      </c>
    </row>
    <row r="51" spans="1:273" x14ac:dyDescent="0.3">
      <c r="A51" t="s">
        <v>1344</v>
      </c>
      <c r="B51" t="s">
        <v>302</v>
      </c>
      <c r="C51" t="s">
        <v>340</v>
      </c>
      <c r="D51" t="s">
        <v>657</v>
      </c>
      <c r="E51" t="s">
        <v>1114</v>
      </c>
      <c r="F51" t="s">
        <v>592</v>
      </c>
      <c r="G51">
        <v>5</v>
      </c>
      <c r="H51" t="s">
        <v>1345</v>
      </c>
      <c r="I51" t="s">
        <v>594</v>
      </c>
      <c r="J51" t="s">
        <v>993</v>
      </c>
      <c r="L51" t="s">
        <v>658</v>
      </c>
      <c r="M51" t="s">
        <v>1346</v>
      </c>
      <c r="N51">
        <v>1</v>
      </c>
      <c r="O51">
        <v>1</v>
      </c>
      <c r="P51">
        <v>1</v>
      </c>
      <c r="Q51">
        <v>8</v>
      </c>
      <c r="R51">
        <v>2</v>
      </c>
      <c r="S51">
        <v>0</v>
      </c>
      <c r="T51">
        <v>0</v>
      </c>
      <c r="U51">
        <v>0</v>
      </c>
      <c r="V51" t="s">
        <v>188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 t="s">
        <v>596</v>
      </c>
      <c r="AI51">
        <v>1</v>
      </c>
      <c r="AJ51" t="s">
        <v>199</v>
      </c>
      <c r="AK51">
        <v>1</v>
      </c>
      <c r="AL51">
        <v>220</v>
      </c>
      <c r="AM51">
        <v>1185</v>
      </c>
      <c r="AN51">
        <v>0</v>
      </c>
      <c r="AO51">
        <v>0</v>
      </c>
      <c r="AP51">
        <v>0</v>
      </c>
      <c r="AQ51">
        <v>900</v>
      </c>
      <c r="AR51">
        <v>62</v>
      </c>
      <c r="AS51">
        <v>49</v>
      </c>
      <c r="AT51">
        <v>82.25</v>
      </c>
      <c r="AU51">
        <v>0</v>
      </c>
      <c r="AV51">
        <v>0</v>
      </c>
      <c r="AW51">
        <v>1016.18</v>
      </c>
      <c r="AX51">
        <v>53.21</v>
      </c>
      <c r="AY51">
        <v>644.52</v>
      </c>
      <c r="AZ51">
        <v>10.59</v>
      </c>
      <c r="BA51">
        <v>62</v>
      </c>
      <c r="BB51">
        <v>0</v>
      </c>
      <c r="BC51">
        <v>28</v>
      </c>
      <c r="BD51">
        <v>94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250</v>
      </c>
      <c r="BN51">
        <v>550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550</v>
      </c>
      <c r="BV51">
        <v>1067</v>
      </c>
      <c r="BW51" t="s">
        <v>188</v>
      </c>
      <c r="BX51">
        <v>0</v>
      </c>
      <c r="BY51" t="s">
        <v>1344</v>
      </c>
      <c r="CA51">
        <v>550</v>
      </c>
      <c r="CB51">
        <v>62</v>
      </c>
      <c r="CC51">
        <v>1185</v>
      </c>
      <c r="CD51" t="s">
        <v>188</v>
      </c>
      <c r="CE51" t="s">
        <v>1347</v>
      </c>
      <c r="CF51" t="s">
        <v>1348</v>
      </c>
      <c r="CG51" t="s">
        <v>1349</v>
      </c>
      <c r="CI51" t="s">
        <v>1350</v>
      </c>
      <c r="CK51">
        <v>100</v>
      </c>
      <c r="CL51" t="s">
        <v>1351</v>
      </c>
      <c r="CM51" t="s">
        <v>1352</v>
      </c>
      <c r="CN51" t="s">
        <v>1353</v>
      </c>
      <c r="CO51">
        <v>0</v>
      </c>
      <c r="CP51" t="s">
        <v>188</v>
      </c>
      <c r="CQ51" t="s">
        <v>188</v>
      </c>
      <c r="CR51">
        <v>135</v>
      </c>
      <c r="CS51">
        <v>0</v>
      </c>
      <c r="CX51">
        <v>0</v>
      </c>
      <c r="CY51">
        <v>2100</v>
      </c>
      <c r="CZ51">
        <v>0</v>
      </c>
      <c r="DA51">
        <v>0</v>
      </c>
      <c r="DB51" t="s">
        <v>1354</v>
      </c>
      <c r="DC51">
        <v>0</v>
      </c>
      <c r="DD51">
        <v>0</v>
      </c>
      <c r="DI51" t="s">
        <v>1355</v>
      </c>
      <c r="DJ51" t="s">
        <v>1356</v>
      </c>
      <c r="DK51">
        <v>350</v>
      </c>
      <c r="DQ51" t="s">
        <v>680</v>
      </c>
      <c r="DR51">
        <v>1400</v>
      </c>
      <c r="EW51" t="s">
        <v>188</v>
      </c>
      <c r="EX51" t="s">
        <v>188</v>
      </c>
      <c r="EY51" t="s">
        <v>188</v>
      </c>
      <c r="EZ51" t="s">
        <v>188</v>
      </c>
      <c r="FA51">
        <v>4</v>
      </c>
      <c r="FB51" t="s">
        <v>188</v>
      </c>
      <c r="FE51">
        <v>1.11111111111111E+27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 t="s">
        <v>188</v>
      </c>
      <c r="GF51" t="s">
        <v>188</v>
      </c>
      <c r="GG51" t="s">
        <v>188</v>
      </c>
      <c r="GH51" s="1">
        <v>44872</v>
      </c>
      <c r="GI51" t="s">
        <v>608</v>
      </c>
      <c r="GJ51" t="s">
        <v>609</v>
      </c>
      <c r="GK51" t="s">
        <v>812</v>
      </c>
      <c r="GL51">
        <v>0</v>
      </c>
      <c r="GM51">
        <v>0</v>
      </c>
      <c r="GN51">
        <v>406.4</v>
      </c>
      <c r="GO51">
        <v>355.6</v>
      </c>
      <c r="GP51">
        <v>0</v>
      </c>
      <c r="GR51" s="1">
        <v>45761</v>
      </c>
      <c r="GV51" t="s">
        <v>188</v>
      </c>
      <c r="GW51" t="s">
        <v>188</v>
      </c>
      <c r="GX51" t="s">
        <v>188</v>
      </c>
      <c r="GY51" t="s">
        <v>188</v>
      </c>
      <c r="GZ51" t="s">
        <v>188</v>
      </c>
      <c r="HA51" t="s">
        <v>188</v>
      </c>
      <c r="HB51" t="s">
        <v>188</v>
      </c>
      <c r="HC51" t="s">
        <v>188</v>
      </c>
      <c r="HD51" t="s">
        <v>188</v>
      </c>
      <c r="HE51" t="s">
        <v>188</v>
      </c>
      <c r="HH51">
        <v>0</v>
      </c>
      <c r="HI51">
        <v>0</v>
      </c>
      <c r="HJ51">
        <v>63.49</v>
      </c>
      <c r="HK51">
        <v>48.1</v>
      </c>
      <c r="HL51">
        <v>731.75</v>
      </c>
      <c r="HN51" t="s">
        <v>188</v>
      </c>
      <c r="IS51">
        <v>0</v>
      </c>
      <c r="IT51">
        <v>0</v>
      </c>
      <c r="IU51">
        <v>0</v>
      </c>
      <c r="IV51">
        <v>0</v>
      </c>
      <c r="IW51">
        <v>0</v>
      </c>
      <c r="IX51" t="s">
        <v>1357</v>
      </c>
      <c r="IY51">
        <v>0</v>
      </c>
      <c r="IZ51">
        <v>0</v>
      </c>
      <c r="JA51">
        <v>0</v>
      </c>
      <c r="JB51">
        <v>0</v>
      </c>
      <c r="JC51" t="s">
        <v>613</v>
      </c>
      <c r="JD51" t="s">
        <v>1358</v>
      </c>
      <c r="JE51" t="s">
        <v>791</v>
      </c>
      <c r="JF51">
        <v>0</v>
      </c>
      <c r="JH51" t="s">
        <v>188</v>
      </c>
      <c r="JI51">
        <v>0</v>
      </c>
      <c r="JJ51" t="s">
        <v>188</v>
      </c>
      <c r="JK51">
        <v>711.58</v>
      </c>
      <c r="JL51">
        <v>0</v>
      </c>
      <c r="JM51">
        <v>1</v>
      </c>
    </row>
    <row r="52" spans="1:273" x14ac:dyDescent="0.3">
      <c r="A52" t="s">
        <v>1359</v>
      </c>
      <c r="B52" t="s">
        <v>302</v>
      </c>
      <c r="C52" t="s">
        <v>340</v>
      </c>
      <c r="D52" t="s">
        <v>657</v>
      </c>
      <c r="E52" t="s">
        <v>1114</v>
      </c>
      <c r="F52" t="s">
        <v>659</v>
      </c>
      <c r="G52">
        <v>5</v>
      </c>
      <c r="H52" t="s">
        <v>1360</v>
      </c>
      <c r="I52" t="s">
        <v>594</v>
      </c>
      <c r="J52" t="s">
        <v>993</v>
      </c>
      <c r="L52" t="s">
        <v>658</v>
      </c>
      <c r="M52" t="s">
        <v>1361</v>
      </c>
      <c r="N52">
        <v>1</v>
      </c>
      <c r="O52">
        <v>1</v>
      </c>
      <c r="P52">
        <v>1</v>
      </c>
      <c r="Q52">
        <v>8</v>
      </c>
      <c r="R52">
        <v>2</v>
      </c>
      <c r="S52">
        <v>0</v>
      </c>
      <c r="T52">
        <v>0</v>
      </c>
      <c r="U52">
        <v>0</v>
      </c>
      <c r="V52" t="s">
        <v>188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 t="s">
        <v>596</v>
      </c>
      <c r="AI52">
        <v>1</v>
      </c>
      <c r="AJ52" t="s">
        <v>199</v>
      </c>
      <c r="AK52">
        <v>1</v>
      </c>
      <c r="AL52">
        <v>190</v>
      </c>
      <c r="AM52">
        <v>1000</v>
      </c>
      <c r="AN52">
        <v>0</v>
      </c>
      <c r="AO52">
        <v>0</v>
      </c>
      <c r="AP52">
        <v>0</v>
      </c>
      <c r="AQ52">
        <v>1400</v>
      </c>
      <c r="AR52">
        <v>42.3</v>
      </c>
      <c r="AS52">
        <v>32</v>
      </c>
      <c r="AT52">
        <v>82.17</v>
      </c>
      <c r="AU52">
        <v>0</v>
      </c>
      <c r="AV52">
        <v>0</v>
      </c>
      <c r="AW52">
        <v>841.3</v>
      </c>
      <c r="AX52">
        <v>35.479999999999997</v>
      </c>
      <c r="AY52">
        <v>356.14</v>
      </c>
      <c r="AZ52">
        <v>8.5</v>
      </c>
      <c r="BA52">
        <v>42.3</v>
      </c>
      <c r="BB52">
        <v>0</v>
      </c>
      <c r="BC52">
        <v>28</v>
      </c>
      <c r="BD52">
        <v>83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250</v>
      </c>
      <c r="BN52">
        <v>450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450</v>
      </c>
      <c r="BV52">
        <v>1067</v>
      </c>
      <c r="BW52" t="s">
        <v>188</v>
      </c>
      <c r="BX52">
        <v>0</v>
      </c>
      <c r="BY52" t="s">
        <v>1359</v>
      </c>
      <c r="CA52">
        <v>450</v>
      </c>
      <c r="CB52">
        <v>42.3</v>
      </c>
      <c r="CC52">
        <v>1000</v>
      </c>
      <c r="CD52" t="s">
        <v>188</v>
      </c>
      <c r="CE52" t="s">
        <v>1362</v>
      </c>
      <c r="CF52" t="s">
        <v>1348</v>
      </c>
      <c r="CG52" t="s">
        <v>1363</v>
      </c>
      <c r="CI52" t="s">
        <v>1364</v>
      </c>
      <c r="CK52">
        <v>100</v>
      </c>
      <c r="CL52" t="s">
        <v>1365</v>
      </c>
      <c r="CM52" t="s">
        <v>1366</v>
      </c>
      <c r="CN52" t="s">
        <v>1367</v>
      </c>
      <c r="CO52">
        <v>0</v>
      </c>
      <c r="CP52" t="s">
        <v>188</v>
      </c>
      <c r="CQ52" t="s">
        <v>188</v>
      </c>
      <c r="CR52">
        <v>120</v>
      </c>
      <c r="CS52">
        <v>0</v>
      </c>
      <c r="CX52">
        <v>0</v>
      </c>
      <c r="CY52">
        <v>2100</v>
      </c>
      <c r="CZ52">
        <v>0</v>
      </c>
      <c r="DA52">
        <v>0</v>
      </c>
      <c r="DB52" t="s">
        <v>1368</v>
      </c>
      <c r="DC52">
        <v>0</v>
      </c>
      <c r="DD52">
        <v>0</v>
      </c>
      <c r="DI52" t="s">
        <v>1355</v>
      </c>
      <c r="DJ52" t="s">
        <v>1369</v>
      </c>
      <c r="DK52">
        <v>350</v>
      </c>
      <c r="DQ52" t="s">
        <v>680</v>
      </c>
      <c r="DR52">
        <v>1400</v>
      </c>
      <c r="EW52" t="s">
        <v>188</v>
      </c>
      <c r="EX52" t="s">
        <v>188</v>
      </c>
      <c r="EY52" t="s">
        <v>188</v>
      </c>
      <c r="EZ52" t="s">
        <v>188</v>
      </c>
      <c r="FA52">
        <v>4</v>
      </c>
      <c r="FB52" t="s">
        <v>188</v>
      </c>
      <c r="FE52">
        <v>1111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 t="s">
        <v>188</v>
      </c>
      <c r="GF52" t="s">
        <v>188</v>
      </c>
      <c r="GG52" t="s">
        <v>188</v>
      </c>
      <c r="GH52" s="1">
        <v>44872</v>
      </c>
      <c r="GI52" t="s">
        <v>608</v>
      </c>
      <c r="GJ52" t="s">
        <v>609</v>
      </c>
      <c r="GK52" t="s">
        <v>610</v>
      </c>
      <c r="GL52">
        <v>0</v>
      </c>
      <c r="GM52">
        <v>0</v>
      </c>
      <c r="GN52">
        <v>406.4</v>
      </c>
      <c r="GO52">
        <v>355.6</v>
      </c>
      <c r="GP52">
        <v>0</v>
      </c>
      <c r="GR52" s="1">
        <v>44875</v>
      </c>
      <c r="GV52" t="s">
        <v>188</v>
      </c>
      <c r="GW52" t="s">
        <v>188</v>
      </c>
      <c r="GX52" t="s">
        <v>188</v>
      </c>
      <c r="GY52" t="s">
        <v>188</v>
      </c>
      <c r="GZ52" t="s">
        <v>188</v>
      </c>
      <c r="HA52" t="s">
        <v>188</v>
      </c>
      <c r="HB52" t="s">
        <v>188</v>
      </c>
      <c r="HC52" t="s">
        <v>188</v>
      </c>
      <c r="HD52" t="s">
        <v>188</v>
      </c>
      <c r="HE52" t="s">
        <v>188</v>
      </c>
      <c r="HH52">
        <v>0</v>
      </c>
      <c r="HI52">
        <v>0</v>
      </c>
      <c r="HJ52">
        <v>43.22</v>
      </c>
      <c r="HK52">
        <v>31.78</v>
      </c>
      <c r="HL52">
        <v>394.97</v>
      </c>
      <c r="HN52" t="s">
        <v>188</v>
      </c>
      <c r="IS52">
        <v>0</v>
      </c>
      <c r="IT52">
        <v>0</v>
      </c>
      <c r="IU52">
        <v>0</v>
      </c>
      <c r="IV52">
        <v>0</v>
      </c>
      <c r="IW52">
        <v>0</v>
      </c>
      <c r="IX52" t="s">
        <v>1357</v>
      </c>
      <c r="IY52">
        <v>0</v>
      </c>
      <c r="IZ52">
        <v>0</v>
      </c>
      <c r="JA52">
        <v>0</v>
      </c>
      <c r="JB52">
        <v>0</v>
      </c>
      <c r="JC52" t="s">
        <v>613</v>
      </c>
      <c r="JD52" t="s">
        <v>1370</v>
      </c>
      <c r="JE52" t="s">
        <v>791</v>
      </c>
      <c r="JF52">
        <v>0</v>
      </c>
      <c r="JH52" t="s">
        <v>188</v>
      </c>
      <c r="JI52">
        <v>0</v>
      </c>
      <c r="JJ52" t="s">
        <v>188</v>
      </c>
      <c r="JK52">
        <v>392.16</v>
      </c>
      <c r="JL52">
        <v>0</v>
      </c>
      <c r="JM52">
        <v>1</v>
      </c>
    </row>
    <row r="53" spans="1:273" x14ac:dyDescent="0.3">
      <c r="A53" t="s">
        <v>1371</v>
      </c>
      <c r="B53" t="s">
        <v>302</v>
      </c>
      <c r="C53" t="s">
        <v>340</v>
      </c>
      <c r="D53" t="s">
        <v>657</v>
      </c>
      <c r="E53" t="s">
        <v>1114</v>
      </c>
      <c r="F53" t="s">
        <v>592</v>
      </c>
      <c r="G53">
        <v>5</v>
      </c>
      <c r="H53" t="s">
        <v>1345</v>
      </c>
      <c r="I53" t="s">
        <v>594</v>
      </c>
      <c r="J53" t="s">
        <v>993</v>
      </c>
      <c r="L53" t="s">
        <v>658</v>
      </c>
      <c r="M53" t="s">
        <v>1346</v>
      </c>
      <c r="N53">
        <v>1</v>
      </c>
      <c r="O53">
        <v>1</v>
      </c>
      <c r="P53">
        <v>1</v>
      </c>
      <c r="Q53">
        <v>8</v>
      </c>
      <c r="R53">
        <v>2</v>
      </c>
      <c r="S53">
        <v>0</v>
      </c>
      <c r="T53">
        <v>0</v>
      </c>
      <c r="U53">
        <v>0</v>
      </c>
      <c r="V53" t="s">
        <v>188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 t="s">
        <v>596</v>
      </c>
      <c r="AI53">
        <v>1</v>
      </c>
      <c r="AJ53" t="s">
        <v>199</v>
      </c>
      <c r="AK53">
        <v>1</v>
      </c>
      <c r="AL53">
        <v>220</v>
      </c>
      <c r="AM53">
        <v>1185</v>
      </c>
      <c r="AN53">
        <v>0</v>
      </c>
      <c r="AO53">
        <v>0</v>
      </c>
      <c r="AP53">
        <v>0</v>
      </c>
      <c r="AQ53">
        <v>900</v>
      </c>
      <c r="AR53">
        <v>62</v>
      </c>
      <c r="AS53">
        <v>49</v>
      </c>
      <c r="AT53">
        <v>82.25</v>
      </c>
      <c r="AU53">
        <v>0</v>
      </c>
      <c r="AV53">
        <v>0</v>
      </c>
      <c r="AW53">
        <v>1016.18</v>
      </c>
      <c r="AX53">
        <v>53.21</v>
      </c>
      <c r="AY53">
        <v>644.52</v>
      </c>
      <c r="AZ53">
        <v>10.59</v>
      </c>
      <c r="BA53">
        <v>62</v>
      </c>
      <c r="BB53">
        <v>0</v>
      </c>
      <c r="BC53">
        <v>28</v>
      </c>
      <c r="BD53">
        <v>94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250</v>
      </c>
      <c r="BN53">
        <v>550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550</v>
      </c>
      <c r="BV53">
        <v>1067</v>
      </c>
      <c r="BW53" t="s">
        <v>188</v>
      </c>
      <c r="BX53">
        <v>0</v>
      </c>
      <c r="BY53" t="s">
        <v>1346</v>
      </c>
      <c r="CA53">
        <v>550</v>
      </c>
      <c r="CB53">
        <v>62</v>
      </c>
      <c r="CC53">
        <v>1185</v>
      </c>
      <c r="CD53" t="s">
        <v>188</v>
      </c>
      <c r="CE53" t="s">
        <v>1347</v>
      </c>
      <c r="CF53" t="s">
        <v>1348</v>
      </c>
      <c r="CG53" t="s">
        <v>1349</v>
      </c>
      <c r="CI53" t="s">
        <v>1350</v>
      </c>
      <c r="CK53">
        <v>100</v>
      </c>
      <c r="CL53" t="s">
        <v>1351</v>
      </c>
      <c r="CM53" t="s">
        <v>1352</v>
      </c>
      <c r="CN53" t="s">
        <v>1353</v>
      </c>
      <c r="CO53">
        <v>0</v>
      </c>
      <c r="CP53" t="s">
        <v>188</v>
      </c>
      <c r="CQ53" t="s">
        <v>188</v>
      </c>
      <c r="CR53">
        <v>135</v>
      </c>
      <c r="CS53">
        <v>0</v>
      </c>
      <c r="CT53" t="s">
        <v>1372</v>
      </c>
      <c r="CX53">
        <v>0</v>
      </c>
      <c r="CY53">
        <v>2100</v>
      </c>
      <c r="CZ53">
        <v>0</v>
      </c>
      <c r="DA53">
        <v>0</v>
      </c>
      <c r="DB53" t="s">
        <v>1373</v>
      </c>
      <c r="DC53">
        <v>0</v>
      </c>
      <c r="DD53">
        <v>0</v>
      </c>
      <c r="DI53" t="s">
        <v>1355</v>
      </c>
      <c r="DJ53" t="s">
        <v>1374</v>
      </c>
      <c r="DK53">
        <v>350</v>
      </c>
      <c r="DQ53" t="s">
        <v>678</v>
      </c>
      <c r="DR53">
        <v>600</v>
      </c>
      <c r="DS53" t="s">
        <v>679</v>
      </c>
      <c r="DT53">
        <v>900</v>
      </c>
      <c r="EW53" t="s">
        <v>188</v>
      </c>
      <c r="EX53" t="s">
        <v>188</v>
      </c>
      <c r="EY53" t="s">
        <v>188</v>
      </c>
      <c r="EZ53" t="s">
        <v>188</v>
      </c>
      <c r="FA53">
        <v>4</v>
      </c>
      <c r="FB53" t="s">
        <v>188</v>
      </c>
      <c r="FE53">
        <v>1.11111111111111E+27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 t="s">
        <v>188</v>
      </c>
      <c r="GF53" t="s">
        <v>188</v>
      </c>
      <c r="GG53" t="s">
        <v>188</v>
      </c>
      <c r="GH53" s="1">
        <v>44648</v>
      </c>
      <c r="GI53" t="s">
        <v>608</v>
      </c>
      <c r="GJ53" t="s">
        <v>609</v>
      </c>
      <c r="GK53" t="s">
        <v>610</v>
      </c>
      <c r="GL53">
        <v>0</v>
      </c>
      <c r="GM53">
        <v>0</v>
      </c>
      <c r="GN53">
        <v>406.4</v>
      </c>
      <c r="GO53">
        <v>355.6</v>
      </c>
      <c r="GP53">
        <v>0</v>
      </c>
      <c r="GQ53" t="s">
        <v>611</v>
      </c>
      <c r="GR53" s="1">
        <v>44872</v>
      </c>
      <c r="GV53" t="s">
        <v>188</v>
      </c>
      <c r="GW53" t="s">
        <v>188</v>
      </c>
      <c r="GX53" t="s">
        <v>188</v>
      </c>
      <c r="GY53" t="s">
        <v>188</v>
      </c>
      <c r="GZ53" t="s">
        <v>188</v>
      </c>
      <c r="HA53" t="s">
        <v>188</v>
      </c>
      <c r="HB53" t="s">
        <v>188</v>
      </c>
      <c r="HC53" t="s">
        <v>188</v>
      </c>
      <c r="HD53" t="s">
        <v>188</v>
      </c>
      <c r="HE53" t="s">
        <v>188</v>
      </c>
      <c r="HH53">
        <v>0</v>
      </c>
      <c r="HI53">
        <v>0</v>
      </c>
      <c r="HJ53">
        <v>63.49</v>
      </c>
      <c r="HK53">
        <v>48.1</v>
      </c>
      <c r="HL53">
        <v>731.75</v>
      </c>
      <c r="HN53" t="s">
        <v>188</v>
      </c>
      <c r="IS53">
        <v>0</v>
      </c>
      <c r="IT53">
        <v>0</v>
      </c>
      <c r="IU53">
        <v>0</v>
      </c>
      <c r="IV53">
        <v>0</v>
      </c>
      <c r="IW53">
        <v>0</v>
      </c>
      <c r="IX53" t="s">
        <v>1357</v>
      </c>
      <c r="IY53">
        <v>0</v>
      </c>
      <c r="IZ53">
        <v>0</v>
      </c>
      <c r="JA53">
        <v>0</v>
      </c>
      <c r="JB53">
        <v>0</v>
      </c>
      <c r="JC53" t="s">
        <v>613</v>
      </c>
      <c r="JD53" t="s">
        <v>1358</v>
      </c>
      <c r="JE53" t="s">
        <v>791</v>
      </c>
      <c r="JF53">
        <v>0</v>
      </c>
      <c r="JH53" t="s">
        <v>188</v>
      </c>
      <c r="JI53">
        <v>0</v>
      </c>
      <c r="JJ53" t="s">
        <v>188</v>
      </c>
      <c r="JK53">
        <v>711.58</v>
      </c>
      <c r="JL53">
        <v>0</v>
      </c>
      <c r="JM53">
        <v>1</v>
      </c>
    </row>
    <row r="54" spans="1:273" x14ac:dyDescent="0.3">
      <c r="A54" t="s">
        <v>1375</v>
      </c>
      <c r="B54" t="s">
        <v>302</v>
      </c>
      <c r="C54" t="s">
        <v>340</v>
      </c>
      <c r="D54" t="s">
        <v>657</v>
      </c>
      <c r="E54" t="s">
        <v>1114</v>
      </c>
      <c r="F54" t="s">
        <v>659</v>
      </c>
      <c r="G54">
        <v>5</v>
      </c>
      <c r="H54" t="s">
        <v>1360</v>
      </c>
      <c r="I54" t="s">
        <v>594</v>
      </c>
      <c r="J54" t="s">
        <v>993</v>
      </c>
      <c r="L54" t="s">
        <v>658</v>
      </c>
      <c r="M54" t="s">
        <v>1361</v>
      </c>
      <c r="N54">
        <v>1</v>
      </c>
      <c r="O54">
        <v>1</v>
      </c>
      <c r="P54">
        <v>1</v>
      </c>
      <c r="Q54">
        <v>8</v>
      </c>
      <c r="R54">
        <v>2</v>
      </c>
      <c r="S54">
        <v>0</v>
      </c>
      <c r="T54">
        <v>0</v>
      </c>
      <c r="U54">
        <v>0</v>
      </c>
      <c r="V54" t="s">
        <v>188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 t="s">
        <v>596</v>
      </c>
      <c r="AI54">
        <v>1</v>
      </c>
      <c r="AJ54" t="s">
        <v>199</v>
      </c>
      <c r="AK54">
        <v>1</v>
      </c>
      <c r="AL54">
        <v>190</v>
      </c>
      <c r="AM54">
        <v>1000</v>
      </c>
      <c r="AN54">
        <v>0</v>
      </c>
      <c r="AO54">
        <v>0</v>
      </c>
      <c r="AP54">
        <v>0</v>
      </c>
      <c r="AQ54">
        <v>900</v>
      </c>
      <c r="AR54">
        <v>42.3</v>
      </c>
      <c r="AS54">
        <v>32</v>
      </c>
      <c r="AT54">
        <v>82.17</v>
      </c>
      <c r="AU54">
        <v>0</v>
      </c>
      <c r="AV54">
        <v>0</v>
      </c>
      <c r="AW54">
        <v>841.3</v>
      </c>
      <c r="AX54">
        <v>35.479999999999997</v>
      </c>
      <c r="AY54">
        <v>356.14</v>
      </c>
      <c r="AZ54">
        <v>8.5</v>
      </c>
      <c r="BA54">
        <v>42.3</v>
      </c>
      <c r="BB54">
        <v>0</v>
      </c>
      <c r="BC54">
        <v>28</v>
      </c>
      <c r="BD54">
        <v>83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250</v>
      </c>
      <c r="BN54">
        <v>450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450</v>
      </c>
      <c r="BV54">
        <v>1067</v>
      </c>
      <c r="BW54" t="s">
        <v>188</v>
      </c>
      <c r="BX54">
        <v>0</v>
      </c>
      <c r="BY54" t="s">
        <v>1361</v>
      </c>
      <c r="CA54">
        <v>450</v>
      </c>
      <c r="CB54">
        <v>42.3</v>
      </c>
      <c r="CC54">
        <v>1000</v>
      </c>
      <c r="CD54" t="s">
        <v>188</v>
      </c>
      <c r="CE54" t="s">
        <v>1362</v>
      </c>
      <c r="CF54" t="s">
        <v>1348</v>
      </c>
      <c r="CG54" t="s">
        <v>1363</v>
      </c>
      <c r="CI54" t="s">
        <v>1364</v>
      </c>
      <c r="CK54">
        <v>100</v>
      </c>
      <c r="CL54" t="s">
        <v>1365</v>
      </c>
      <c r="CM54" t="s">
        <v>1366</v>
      </c>
      <c r="CN54" t="s">
        <v>1367</v>
      </c>
      <c r="CO54">
        <v>0</v>
      </c>
      <c r="CP54" t="s">
        <v>188</v>
      </c>
      <c r="CQ54" t="s">
        <v>188</v>
      </c>
      <c r="CR54">
        <v>120</v>
      </c>
      <c r="CS54">
        <v>0</v>
      </c>
      <c r="CT54" t="s">
        <v>1372</v>
      </c>
      <c r="CX54">
        <v>0</v>
      </c>
      <c r="CY54">
        <v>2100</v>
      </c>
      <c r="CZ54">
        <v>0</v>
      </c>
      <c r="DA54">
        <v>0</v>
      </c>
      <c r="DB54" t="s">
        <v>1376</v>
      </c>
      <c r="DC54">
        <v>0</v>
      </c>
      <c r="DD54">
        <v>0</v>
      </c>
      <c r="DI54" t="s">
        <v>1355</v>
      </c>
      <c r="DJ54" t="s">
        <v>1377</v>
      </c>
      <c r="DK54">
        <v>350</v>
      </c>
      <c r="DQ54" t="s">
        <v>678</v>
      </c>
      <c r="DR54">
        <v>600</v>
      </c>
      <c r="DS54" t="s">
        <v>679</v>
      </c>
      <c r="DT54">
        <v>900</v>
      </c>
      <c r="EW54" t="s">
        <v>188</v>
      </c>
      <c r="EX54" t="s">
        <v>188</v>
      </c>
      <c r="EY54" t="s">
        <v>188</v>
      </c>
      <c r="EZ54" t="s">
        <v>188</v>
      </c>
      <c r="FA54">
        <v>4</v>
      </c>
      <c r="FB54" t="s">
        <v>188</v>
      </c>
      <c r="FE54">
        <v>1.1111111111111099E+23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 t="s">
        <v>188</v>
      </c>
      <c r="GF54" t="s">
        <v>188</v>
      </c>
      <c r="GG54" t="s">
        <v>188</v>
      </c>
      <c r="GH54" s="1">
        <v>44648</v>
      </c>
      <c r="GI54" t="s">
        <v>608</v>
      </c>
      <c r="GJ54" t="s">
        <v>609</v>
      </c>
      <c r="GK54" t="s">
        <v>610</v>
      </c>
      <c r="GL54">
        <v>0</v>
      </c>
      <c r="GM54">
        <v>0</v>
      </c>
      <c r="GN54">
        <v>406.4</v>
      </c>
      <c r="GO54">
        <v>355.6</v>
      </c>
      <c r="GP54">
        <v>0</v>
      </c>
      <c r="GQ54" t="s">
        <v>611</v>
      </c>
      <c r="GR54" s="1">
        <v>44872</v>
      </c>
      <c r="GV54" t="s">
        <v>188</v>
      </c>
      <c r="GW54" t="s">
        <v>188</v>
      </c>
      <c r="GX54" t="s">
        <v>188</v>
      </c>
      <c r="GY54" t="s">
        <v>188</v>
      </c>
      <c r="GZ54" t="s">
        <v>188</v>
      </c>
      <c r="HA54" t="s">
        <v>188</v>
      </c>
      <c r="HB54" t="s">
        <v>188</v>
      </c>
      <c r="HC54" t="s">
        <v>188</v>
      </c>
      <c r="HD54" t="s">
        <v>188</v>
      </c>
      <c r="HE54" t="s">
        <v>188</v>
      </c>
      <c r="HH54">
        <v>0</v>
      </c>
      <c r="HI54">
        <v>0</v>
      </c>
      <c r="HJ54">
        <v>43.22</v>
      </c>
      <c r="HK54">
        <v>31.78</v>
      </c>
      <c r="HL54">
        <v>394.97</v>
      </c>
      <c r="HN54" t="s">
        <v>188</v>
      </c>
      <c r="IS54">
        <v>0</v>
      </c>
      <c r="IT54">
        <v>0</v>
      </c>
      <c r="IU54">
        <v>0</v>
      </c>
      <c r="IV54">
        <v>0</v>
      </c>
      <c r="IW54">
        <v>0</v>
      </c>
      <c r="IX54" t="s">
        <v>1357</v>
      </c>
      <c r="IY54">
        <v>0</v>
      </c>
      <c r="IZ54">
        <v>0</v>
      </c>
      <c r="JA54">
        <v>0</v>
      </c>
      <c r="JB54">
        <v>0</v>
      </c>
      <c r="JC54" t="s">
        <v>613</v>
      </c>
      <c r="JD54" t="s">
        <v>1370</v>
      </c>
      <c r="JE54" t="s">
        <v>791</v>
      </c>
      <c r="JF54">
        <v>0</v>
      </c>
      <c r="JH54" t="s">
        <v>188</v>
      </c>
      <c r="JI54">
        <v>0</v>
      </c>
      <c r="JJ54" t="s">
        <v>188</v>
      </c>
      <c r="JK54">
        <v>392.16</v>
      </c>
      <c r="JL54">
        <v>0</v>
      </c>
      <c r="JM54">
        <v>1</v>
      </c>
    </row>
    <row r="55" spans="1:273" x14ac:dyDescent="0.3">
      <c r="A55" t="s">
        <v>1378</v>
      </c>
      <c r="B55" t="s">
        <v>302</v>
      </c>
      <c r="C55" t="s">
        <v>340</v>
      </c>
      <c r="D55" t="s">
        <v>590</v>
      </c>
      <c r="E55" t="s">
        <v>1114</v>
      </c>
      <c r="F55" t="s">
        <v>592</v>
      </c>
      <c r="G55">
        <v>4</v>
      </c>
      <c r="H55" t="s">
        <v>1378</v>
      </c>
      <c r="I55" t="s">
        <v>594</v>
      </c>
      <c r="J55" t="s">
        <v>661</v>
      </c>
      <c r="N55">
        <v>3</v>
      </c>
      <c r="O55">
        <v>3</v>
      </c>
      <c r="P55">
        <v>1</v>
      </c>
      <c r="Q55">
        <v>11</v>
      </c>
      <c r="R55">
        <v>2</v>
      </c>
      <c r="S55">
        <v>0</v>
      </c>
      <c r="T55">
        <v>0</v>
      </c>
      <c r="U55">
        <v>0</v>
      </c>
      <c r="V55" t="s">
        <v>188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 t="s">
        <v>869</v>
      </c>
      <c r="AI55">
        <v>0.2777</v>
      </c>
      <c r="AJ55" t="s">
        <v>199</v>
      </c>
      <c r="AK55">
        <v>1</v>
      </c>
      <c r="AL55">
        <v>3.9</v>
      </c>
      <c r="AM55">
        <v>45.2</v>
      </c>
      <c r="AN55">
        <v>0</v>
      </c>
      <c r="AO55">
        <v>0</v>
      </c>
      <c r="AP55">
        <v>0</v>
      </c>
      <c r="AQ55">
        <v>0</v>
      </c>
      <c r="AR55">
        <v>57.1</v>
      </c>
      <c r="AS55">
        <v>7.3</v>
      </c>
      <c r="AT55">
        <v>56.5</v>
      </c>
      <c r="AU55">
        <v>0</v>
      </c>
      <c r="AV55">
        <v>0</v>
      </c>
      <c r="AW55">
        <v>33.54</v>
      </c>
      <c r="AX55">
        <v>50.55</v>
      </c>
      <c r="AY55">
        <v>8.17</v>
      </c>
      <c r="AZ55">
        <v>6.27</v>
      </c>
      <c r="BA55">
        <v>57.1</v>
      </c>
      <c r="BB55">
        <v>0</v>
      </c>
      <c r="BC55">
        <v>13</v>
      </c>
      <c r="BD55">
        <v>63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1000</v>
      </c>
      <c r="BN55">
        <v>2600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2600</v>
      </c>
      <c r="BV55">
        <v>224</v>
      </c>
      <c r="BW55" t="s">
        <v>188</v>
      </c>
      <c r="BX55">
        <v>0</v>
      </c>
      <c r="BY55" t="s">
        <v>1379</v>
      </c>
      <c r="CA55" t="s">
        <v>1380</v>
      </c>
      <c r="CB55" t="s">
        <v>1381</v>
      </c>
      <c r="CC55" t="s">
        <v>1382</v>
      </c>
      <c r="CD55" t="s">
        <v>188</v>
      </c>
      <c r="CE55" t="s">
        <v>1383</v>
      </c>
      <c r="CF55" t="s">
        <v>1384</v>
      </c>
      <c r="CG55" t="s">
        <v>1385</v>
      </c>
      <c r="CI55" t="s">
        <v>1386</v>
      </c>
      <c r="CK55" t="s">
        <v>1387</v>
      </c>
      <c r="CL55" t="s">
        <v>1388</v>
      </c>
      <c r="CM55" t="s">
        <v>1389</v>
      </c>
      <c r="CN55" t="s">
        <v>1390</v>
      </c>
      <c r="CO55" t="s">
        <v>674</v>
      </c>
      <c r="CP55" t="s">
        <v>188</v>
      </c>
      <c r="CQ55" t="s">
        <v>188</v>
      </c>
      <c r="CR55">
        <v>0</v>
      </c>
      <c r="CS55">
        <v>0</v>
      </c>
      <c r="CX55">
        <v>0</v>
      </c>
      <c r="CY55">
        <v>0</v>
      </c>
      <c r="CZ55">
        <v>0</v>
      </c>
      <c r="DA55">
        <v>0</v>
      </c>
      <c r="DC55">
        <v>0</v>
      </c>
      <c r="DD55">
        <v>0</v>
      </c>
      <c r="EW55" t="s">
        <v>188</v>
      </c>
      <c r="EX55" t="s">
        <v>188</v>
      </c>
      <c r="EY55" t="s">
        <v>188</v>
      </c>
      <c r="EZ55" t="s">
        <v>188</v>
      </c>
      <c r="FA55">
        <v>4</v>
      </c>
      <c r="FB55" t="s">
        <v>188</v>
      </c>
      <c r="FC55" t="s">
        <v>681</v>
      </c>
      <c r="FD55" t="s">
        <v>682</v>
      </c>
      <c r="FE55">
        <v>1.1111111111111101E+31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 t="s">
        <v>188</v>
      </c>
      <c r="GF55" t="s">
        <v>188</v>
      </c>
      <c r="GG55" t="s">
        <v>188</v>
      </c>
      <c r="GH55" s="1">
        <v>45152</v>
      </c>
      <c r="GJ55" t="s">
        <v>610</v>
      </c>
      <c r="GK55" t="s">
        <v>610</v>
      </c>
      <c r="GL55">
        <v>0</v>
      </c>
      <c r="GM55">
        <v>0</v>
      </c>
      <c r="GN55">
        <v>138</v>
      </c>
      <c r="GO55">
        <v>51</v>
      </c>
      <c r="GP55">
        <v>0</v>
      </c>
      <c r="GR55" s="1">
        <v>45152</v>
      </c>
      <c r="GV55" t="s">
        <v>188</v>
      </c>
      <c r="GW55" t="s">
        <v>188</v>
      </c>
      <c r="GX55" t="s">
        <v>188</v>
      </c>
      <c r="GY55" t="s">
        <v>188</v>
      </c>
      <c r="GZ55" t="s">
        <v>188</v>
      </c>
      <c r="HA55" t="s">
        <v>188</v>
      </c>
      <c r="HB55" t="s">
        <v>188</v>
      </c>
      <c r="HC55" t="s">
        <v>188</v>
      </c>
      <c r="HD55" t="s">
        <v>188</v>
      </c>
      <c r="HE55" t="s">
        <v>188</v>
      </c>
      <c r="HH55">
        <v>0</v>
      </c>
      <c r="HI55">
        <v>0</v>
      </c>
      <c r="HJ55">
        <v>57.13</v>
      </c>
      <c r="HK55">
        <v>48.49</v>
      </c>
      <c r="HL55">
        <v>9.67</v>
      </c>
      <c r="HN55" t="s">
        <v>188</v>
      </c>
      <c r="IS55">
        <v>0</v>
      </c>
      <c r="IT55">
        <v>0</v>
      </c>
      <c r="IU55">
        <v>0</v>
      </c>
      <c r="IV55">
        <v>0</v>
      </c>
      <c r="IW55">
        <v>0</v>
      </c>
      <c r="IX55" t="s">
        <v>1391</v>
      </c>
      <c r="IY55">
        <v>0</v>
      </c>
      <c r="IZ55">
        <v>0</v>
      </c>
      <c r="JA55">
        <v>0</v>
      </c>
      <c r="JB55">
        <v>0</v>
      </c>
      <c r="JC55" t="s">
        <v>613</v>
      </c>
      <c r="JD55" t="s">
        <v>1392</v>
      </c>
      <c r="JE55" t="s">
        <v>1393</v>
      </c>
      <c r="JF55">
        <v>0</v>
      </c>
      <c r="JG55" t="s">
        <v>1394</v>
      </c>
      <c r="JH55" t="s">
        <v>188</v>
      </c>
      <c r="JI55">
        <v>0</v>
      </c>
      <c r="JJ55" t="s">
        <v>188</v>
      </c>
      <c r="JK55">
        <v>11.12</v>
      </c>
      <c r="JL55">
        <v>7.5</v>
      </c>
      <c r="JM55">
        <v>3</v>
      </c>
    </row>
    <row r="56" spans="1:273" x14ac:dyDescent="0.3">
      <c r="A56" t="s">
        <v>1395</v>
      </c>
      <c r="B56" t="s">
        <v>302</v>
      </c>
      <c r="C56" t="s">
        <v>340</v>
      </c>
      <c r="D56" t="s">
        <v>590</v>
      </c>
      <c r="E56" t="s">
        <v>1114</v>
      </c>
      <c r="F56" t="s">
        <v>592</v>
      </c>
      <c r="G56">
        <v>5</v>
      </c>
      <c r="H56" t="s">
        <v>1396</v>
      </c>
      <c r="I56" t="s">
        <v>594</v>
      </c>
      <c r="J56" t="s">
        <v>993</v>
      </c>
      <c r="L56" t="s">
        <v>658</v>
      </c>
      <c r="M56" t="s">
        <v>1397</v>
      </c>
      <c r="N56">
        <v>6</v>
      </c>
      <c r="O56">
        <v>6</v>
      </c>
      <c r="P56">
        <v>1</v>
      </c>
      <c r="Q56">
        <v>7</v>
      </c>
      <c r="R56">
        <v>2</v>
      </c>
      <c r="S56">
        <v>0</v>
      </c>
      <c r="T56">
        <v>0</v>
      </c>
      <c r="U56">
        <v>0</v>
      </c>
      <c r="V56" t="s">
        <v>188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 t="s">
        <v>596</v>
      </c>
      <c r="AI56">
        <v>1</v>
      </c>
      <c r="AJ56" t="s">
        <v>199</v>
      </c>
      <c r="AK56">
        <v>1</v>
      </c>
      <c r="AL56">
        <v>1.7</v>
      </c>
      <c r="AM56">
        <v>25</v>
      </c>
      <c r="AN56">
        <v>0</v>
      </c>
      <c r="AO56">
        <v>0</v>
      </c>
      <c r="AP56">
        <v>0</v>
      </c>
      <c r="AQ56">
        <v>15</v>
      </c>
      <c r="AR56">
        <v>65</v>
      </c>
      <c r="AS56">
        <v>5</v>
      </c>
      <c r="AT56">
        <v>47.34</v>
      </c>
      <c r="AU56">
        <v>0</v>
      </c>
      <c r="AV56">
        <v>0</v>
      </c>
      <c r="AW56">
        <v>11.41</v>
      </c>
      <c r="AX56">
        <v>28.88</v>
      </c>
      <c r="AY56">
        <v>6.82</v>
      </c>
      <c r="AZ56">
        <v>5.0999999999999996</v>
      </c>
      <c r="BA56">
        <v>63.1</v>
      </c>
      <c r="BB56">
        <v>0</v>
      </c>
      <c r="BC56">
        <v>27</v>
      </c>
      <c r="BD56">
        <v>101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1180</v>
      </c>
      <c r="BN56">
        <v>3200</v>
      </c>
      <c r="BO56">
        <v>0</v>
      </c>
      <c r="BP56">
        <v>0</v>
      </c>
      <c r="BQ56">
        <v>0</v>
      </c>
      <c r="BR56">
        <v>90</v>
      </c>
      <c r="BS56">
        <v>0</v>
      </c>
      <c r="BT56">
        <v>0</v>
      </c>
      <c r="BU56">
        <v>3200</v>
      </c>
      <c r="BV56">
        <v>184</v>
      </c>
      <c r="BW56" t="s">
        <v>188</v>
      </c>
      <c r="BX56">
        <v>0</v>
      </c>
      <c r="BY56" t="s">
        <v>1398</v>
      </c>
      <c r="BZ56" t="s">
        <v>1029</v>
      </c>
      <c r="CA56" t="s">
        <v>1399</v>
      </c>
      <c r="CB56" t="s">
        <v>1400</v>
      </c>
      <c r="CC56" t="s">
        <v>1401</v>
      </c>
      <c r="CD56" t="s">
        <v>188</v>
      </c>
      <c r="CE56" t="s">
        <v>1402</v>
      </c>
      <c r="CF56" t="s">
        <v>1403</v>
      </c>
      <c r="CG56" t="s">
        <v>1404</v>
      </c>
      <c r="CI56" t="s">
        <v>1405</v>
      </c>
      <c r="CK56" t="s">
        <v>1406</v>
      </c>
      <c r="CL56" t="s">
        <v>1407</v>
      </c>
      <c r="CM56" t="s">
        <v>1408</v>
      </c>
      <c r="CN56" t="s">
        <v>1409</v>
      </c>
      <c r="CO56" t="s">
        <v>1029</v>
      </c>
      <c r="CP56" t="s">
        <v>188</v>
      </c>
      <c r="CQ56" t="s">
        <v>188</v>
      </c>
      <c r="CR56">
        <v>19</v>
      </c>
      <c r="CS56">
        <v>0</v>
      </c>
      <c r="CT56" t="s">
        <v>1410</v>
      </c>
      <c r="CU56" t="s">
        <v>1128</v>
      </c>
      <c r="CV56" t="s">
        <v>1411</v>
      </c>
      <c r="CX56">
        <v>2100</v>
      </c>
      <c r="CY56">
        <v>3150</v>
      </c>
      <c r="CZ56">
        <v>1.5</v>
      </c>
      <c r="DA56">
        <v>0</v>
      </c>
      <c r="DB56" t="s">
        <v>1412</v>
      </c>
      <c r="DC56">
        <v>0</v>
      </c>
      <c r="DD56">
        <v>0</v>
      </c>
      <c r="DI56" t="s">
        <v>1413</v>
      </c>
      <c r="DJ56" t="s">
        <v>1414</v>
      </c>
      <c r="DK56">
        <v>32</v>
      </c>
      <c r="DQ56" t="s">
        <v>1128</v>
      </c>
      <c r="DR56">
        <v>15</v>
      </c>
      <c r="EW56" t="s">
        <v>188</v>
      </c>
      <c r="EX56" t="s">
        <v>188</v>
      </c>
      <c r="EY56" t="s">
        <v>188</v>
      </c>
      <c r="EZ56" t="s">
        <v>188</v>
      </c>
      <c r="FA56">
        <v>3</v>
      </c>
      <c r="FB56" t="s">
        <v>188</v>
      </c>
      <c r="FC56" t="s">
        <v>681</v>
      </c>
      <c r="FD56" t="s">
        <v>682</v>
      </c>
      <c r="FE56">
        <v>1.1111111111111099E+23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 t="s">
        <v>188</v>
      </c>
      <c r="GF56" t="s">
        <v>188</v>
      </c>
      <c r="GG56" t="s">
        <v>188</v>
      </c>
      <c r="GH56" t="s">
        <v>188</v>
      </c>
      <c r="GI56" t="s">
        <v>608</v>
      </c>
      <c r="GJ56" t="s">
        <v>609</v>
      </c>
      <c r="GK56" t="s">
        <v>812</v>
      </c>
      <c r="GL56">
        <v>0</v>
      </c>
      <c r="GM56">
        <v>0</v>
      </c>
      <c r="GN56">
        <v>50.8</v>
      </c>
      <c r="GO56">
        <v>38</v>
      </c>
      <c r="GP56">
        <v>0</v>
      </c>
      <c r="GR56" s="1">
        <v>46178</v>
      </c>
      <c r="GV56" t="s">
        <v>188</v>
      </c>
      <c r="GW56" t="s">
        <v>188</v>
      </c>
      <c r="GX56" t="s">
        <v>188</v>
      </c>
      <c r="GY56" t="s">
        <v>188</v>
      </c>
      <c r="GZ56" t="s">
        <v>188</v>
      </c>
      <c r="HA56" t="s">
        <v>188</v>
      </c>
      <c r="HB56" t="s">
        <v>188</v>
      </c>
      <c r="HC56" t="s">
        <v>188</v>
      </c>
      <c r="HD56" t="s">
        <v>188</v>
      </c>
      <c r="HE56" t="s">
        <v>188</v>
      </c>
      <c r="HH56">
        <v>0</v>
      </c>
      <c r="HI56">
        <v>0</v>
      </c>
      <c r="HJ56">
        <v>62.62</v>
      </c>
      <c r="HK56">
        <v>54.09</v>
      </c>
      <c r="HL56">
        <v>15.58</v>
      </c>
      <c r="HN56" t="s">
        <v>188</v>
      </c>
      <c r="IS56">
        <v>0</v>
      </c>
      <c r="IT56">
        <v>0</v>
      </c>
      <c r="IU56">
        <v>0</v>
      </c>
      <c r="IV56">
        <v>0</v>
      </c>
      <c r="IW56">
        <v>0</v>
      </c>
      <c r="IX56" t="s">
        <v>1415</v>
      </c>
      <c r="IY56">
        <v>0</v>
      </c>
      <c r="IZ56">
        <v>0</v>
      </c>
      <c r="JA56">
        <v>0</v>
      </c>
      <c r="JB56">
        <v>0</v>
      </c>
      <c r="JC56" t="s">
        <v>613</v>
      </c>
      <c r="JD56" t="s">
        <v>1416</v>
      </c>
      <c r="JE56" t="s">
        <v>1417</v>
      </c>
      <c r="JF56">
        <v>2</v>
      </c>
      <c r="JG56" t="s">
        <v>1418</v>
      </c>
      <c r="JH56" t="s">
        <v>188</v>
      </c>
      <c r="JI56">
        <v>0</v>
      </c>
      <c r="JJ56">
        <v>0</v>
      </c>
      <c r="JK56">
        <v>20.3</v>
      </c>
      <c r="JL56">
        <v>17.100000000000001</v>
      </c>
      <c r="JM56">
        <v>4</v>
      </c>
    </row>
    <row r="57" spans="1:273" x14ac:dyDescent="0.3">
      <c r="A57" t="s">
        <v>1419</v>
      </c>
      <c r="B57" t="s">
        <v>302</v>
      </c>
      <c r="C57" t="s">
        <v>340</v>
      </c>
      <c r="D57" t="s">
        <v>590</v>
      </c>
      <c r="E57" t="s">
        <v>1114</v>
      </c>
      <c r="F57" t="s">
        <v>659</v>
      </c>
      <c r="G57">
        <v>5</v>
      </c>
      <c r="H57" t="s">
        <v>1420</v>
      </c>
      <c r="I57" t="s">
        <v>594</v>
      </c>
      <c r="J57" t="s">
        <v>993</v>
      </c>
      <c r="L57" t="s">
        <v>658</v>
      </c>
      <c r="M57" t="s">
        <v>1421</v>
      </c>
      <c r="N57">
        <v>6</v>
      </c>
      <c r="O57">
        <v>6</v>
      </c>
      <c r="P57">
        <v>1</v>
      </c>
      <c r="Q57">
        <v>8</v>
      </c>
      <c r="R57">
        <v>2</v>
      </c>
      <c r="S57">
        <v>0</v>
      </c>
      <c r="T57">
        <v>0</v>
      </c>
      <c r="U57">
        <v>0</v>
      </c>
      <c r="V57" t="s">
        <v>188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 t="s">
        <v>596</v>
      </c>
      <c r="AI57">
        <v>1</v>
      </c>
      <c r="AJ57" t="s">
        <v>199</v>
      </c>
      <c r="AK57">
        <v>1</v>
      </c>
      <c r="AL57">
        <v>2.8</v>
      </c>
      <c r="AM57">
        <v>16.600000000000001</v>
      </c>
      <c r="AN57">
        <v>0</v>
      </c>
      <c r="AO57">
        <v>0</v>
      </c>
      <c r="AP57">
        <v>0</v>
      </c>
      <c r="AQ57">
        <v>0</v>
      </c>
      <c r="AR57">
        <v>45</v>
      </c>
      <c r="AS57">
        <v>5.13</v>
      </c>
      <c r="AT57">
        <v>51.06</v>
      </c>
      <c r="AU57">
        <v>0</v>
      </c>
      <c r="AV57">
        <v>0</v>
      </c>
      <c r="AW57">
        <v>14.31</v>
      </c>
      <c r="AX57">
        <v>34.71</v>
      </c>
      <c r="AY57">
        <v>9.5399999999999991</v>
      </c>
      <c r="AZ57">
        <v>6.94</v>
      </c>
      <c r="BA57">
        <v>44.6</v>
      </c>
      <c r="BB57">
        <v>0</v>
      </c>
      <c r="BC57">
        <v>22</v>
      </c>
      <c r="BD57">
        <v>73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950</v>
      </c>
      <c r="BN57">
        <v>2600</v>
      </c>
      <c r="BO57">
        <v>0</v>
      </c>
      <c r="BP57">
        <v>0</v>
      </c>
      <c r="BQ57">
        <v>0</v>
      </c>
      <c r="BR57">
        <v>68</v>
      </c>
      <c r="BS57">
        <v>0</v>
      </c>
      <c r="BT57">
        <v>0</v>
      </c>
      <c r="BU57">
        <v>2600</v>
      </c>
      <c r="BV57">
        <v>178</v>
      </c>
      <c r="BW57" t="s">
        <v>188</v>
      </c>
      <c r="BX57">
        <v>0</v>
      </c>
      <c r="BY57" t="s">
        <v>1422</v>
      </c>
      <c r="BZ57" t="s">
        <v>1029</v>
      </c>
      <c r="CA57" t="s">
        <v>1423</v>
      </c>
      <c r="CB57" t="s">
        <v>1424</v>
      </c>
      <c r="CC57" t="s">
        <v>1425</v>
      </c>
      <c r="CD57" t="s">
        <v>188</v>
      </c>
      <c r="CE57" t="s">
        <v>1426</v>
      </c>
      <c r="CF57" t="s">
        <v>1427</v>
      </c>
      <c r="CG57" t="s">
        <v>1428</v>
      </c>
      <c r="CI57" t="s">
        <v>1429</v>
      </c>
      <c r="CK57" t="s">
        <v>1406</v>
      </c>
      <c r="CL57" t="s">
        <v>1430</v>
      </c>
      <c r="CM57" t="s">
        <v>1431</v>
      </c>
      <c r="CN57" t="s">
        <v>1432</v>
      </c>
      <c r="CO57" t="s">
        <v>1029</v>
      </c>
      <c r="CP57" t="s">
        <v>188</v>
      </c>
      <c r="CQ57" t="s">
        <v>188</v>
      </c>
      <c r="CR57">
        <v>4</v>
      </c>
      <c r="CS57">
        <v>0</v>
      </c>
      <c r="CT57" t="s">
        <v>1433</v>
      </c>
      <c r="CU57" t="s">
        <v>1128</v>
      </c>
      <c r="CV57" t="s">
        <v>1434</v>
      </c>
      <c r="CX57">
        <v>1400</v>
      </c>
      <c r="CY57">
        <v>1750</v>
      </c>
      <c r="CZ57">
        <v>1.25</v>
      </c>
      <c r="DA57">
        <v>0</v>
      </c>
      <c r="DB57" t="s">
        <v>1435</v>
      </c>
      <c r="DC57">
        <v>0</v>
      </c>
      <c r="DD57">
        <v>0</v>
      </c>
      <c r="DI57" t="s">
        <v>1413</v>
      </c>
      <c r="DJ57" t="s">
        <v>1436</v>
      </c>
      <c r="DK57">
        <v>32</v>
      </c>
      <c r="DQ57" t="s">
        <v>1128</v>
      </c>
      <c r="DR57">
        <v>15</v>
      </c>
      <c r="DS57">
        <v>0</v>
      </c>
      <c r="DT57">
        <v>0</v>
      </c>
      <c r="DU57">
        <v>0</v>
      </c>
      <c r="DV57">
        <v>0</v>
      </c>
      <c r="EW57" t="s">
        <v>188</v>
      </c>
      <c r="EX57" t="s">
        <v>188</v>
      </c>
      <c r="EY57" t="s">
        <v>188</v>
      </c>
      <c r="EZ57" t="s">
        <v>188</v>
      </c>
      <c r="FA57">
        <v>3</v>
      </c>
      <c r="FB57" t="s">
        <v>188</v>
      </c>
      <c r="FC57" t="s">
        <v>681</v>
      </c>
      <c r="FD57" t="s">
        <v>682</v>
      </c>
      <c r="FE57">
        <v>1.1111111111111101E+31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 t="s">
        <v>188</v>
      </c>
      <c r="GF57" t="s">
        <v>188</v>
      </c>
      <c r="GG57" t="s">
        <v>188</v>
      </c>
      <c r="GH57" t="s">
        <v>188</v>
      </c>
      <c r="GI57" t="s">
        <v>608</v>
      </c>
      <c r="GJ57" t="s">
        <v>609</v>
      </c>
      <c r="GK57" t="s">
        <v>610</v>
      </c>
      <c r="GL57">
        <v>0</v>
      </c>
      <c r="GM57">
        <v>0</v>
      </c>
      <c r="GN57">
        <v>50.8</v>
      </c>
      <c r="GO57">
        <v>38</v>
      </c>
      <c r="GP57">
        <v>0</v>
      </c>
      <c r="GR57" s="1">
        <v>45076</v>
      </c>
      <c r="GV57" t="s">
        <v>188</v>
      </c>
      <c r="GW57" t="s">
        <v>188</v>
      </c>
      <c r="GX57" t="s">
        <v>188</v>
      </c>
      <c r="GY57" t="s">
        <v>188</v>
      </c>
      <c r="GZ57" t="s">
        <v>188</v>
      </c>
      <c r="HA57" t="s">
        <v>188</v>
      </c>
      <c r="HB57" t="s">
        <v>188</v>
      </c>
      <c r="HC57" t="s">
        <v>188</v>
      </c>
      <c r="HD57" t="s">
        <v>188</v>
      </c>
      <c r="HE57" t="s">
        <v>188</v>
      </c>
      <c r="HH57">
        <v>0</v>
      </c>
      <c r="HI57">
        <v>0</v>
      </c>
      <c r="HJ57">
        <v>44.48</v>
      </c>
      <c r="HK57">
        <v>31.22</v>
      </c>
      <c r="HL57">
        <v>10.63</v>
      </c>
      <c r="HN57" t="s">
        <v>188</v>
      </c>
      <c r="IS57">
        <v>0</v>
      </c>
      <c r="IT57">
        <v>0</v>
      </c>
      <c r="IU57">
        <v>0</v>
      </c>
      <c r="IV57">
        <v>0</v>
      </c>
      <c r="IW57">
        <v>0</v>
      </c>
      <c r="IX57" t="s">
        <v>1437</v>
      </c>
      <c r="IY57">
        <v>0</v>
      </c>
      <c r="IZ57">
        <v>0</v>
      </c>
      <c r="JA57">
        <v>0</v>
      </c>
      <c r="JB57">
        <v>0</v>
      </c>
      <c r="JC57" t="s">
        <v>613</v>
      </c>
      <c r="JD57" t="s">
        <v>1438</v>
      </c>
      <c r="JE57" t="s">
        <v>1439</v>
      </c>
      <c r="JF57">
        <v>2</v>
      </c>
      <c r="JG57" t="s">
        <v>1440</v>
      </c>
      <c r="JH57" t="s">
        <v>188</v>
      </c>
      <c r="JI57">
        <v>0</v>
      </c>
      <c r="JJ57" t="s">
        <v>188</v>
      </c>
      <c r="JK57">
        <v>10.39</v>
      </c>
      <c r="JL57">
        <v>9.3000000000000007</v>
      </c>
      <c r="JM57">
        <v>6</v>
      </c>
    </row>
    <row r="58" spans="1:273" x14ac:dyDescent="0.3">
      <c r="A58" t="s">
        <v>1441</v>
      </c>
      <c r="B58" t="s">
        <v>302</v>
      </c>
      <c r="C58" t="s">
        <v>340</v>
      </c>
      <c r="D58" t="s">
        <v>590</v>
      </c>
      <c r="E58" t="s">
        <v>1114</v>
      </c>
      <c r="F58" t="s">
        <v>592</v>
      </c>
      <c r="G58">
        <v>8</v>
      </c>
      <c r="H58" t="s">
        <v>1442</v>
      </c>
      <c r="J58" t="s">
        <v>661</v>
      </c>
      <c r="N58">
        <v>1</v>
      </c>
      <c r="O58">
        <v>1</v>
      </c>
      <c r="P58">
        <v>1</v>
      </c>
      <c r="Q58">
        <v>7</v>
      </c>
      <c r="R58">
        <v>2</v>
      </c>
      <c r="S58">
        <v>0</v>
      </c>
      <c r="T58">
        <v>0</v>
      </c>
      <c r="U58">
        <v>0</v>
      </c>
      <c r="V58" t="s">
        <v>188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 t="s">
        <v>596</v>
      </c>
      <c r="AI58">
        <v>1</v>
      </c>
      <c r="AJ58" t="s">
        <v>199</v>
      </c>
      <c r="AK58">
        <v>1</v>
      </c>
      <c r="AL58">
        <v>3.4</v>
      </c>
      <c r="AM58">
        <v>17.600000000000001</v>
      </c>
      <c r="AN58">
        <v>0</v>
      </c>
      <c r="AO58">
        <v>0</v>
      </c>
      <c r="AP58">
        <v>0</v>
      </c>
      <c r="AQ58">
        <v>0</v>
      </c>
      <c r="AR58">
        <v>23.4</v>
      </c>
      <c r="AS58">
        <v>16.2</v>
      </c>
      <c r="AT58">
        <v>40.94</v>
      </c>
      <c r="AU58">
        <v>0</v>
      </c>
      <c r="AV58">
        <v>0</v>
      </c>
      <c r="AW58">
        <v>14.81</v>
      </c>
      <c r="AX58">
        <v>18.21</v>
      </c>
      <c r="AY58">
        <v>6.46</v>
      </c>
      <c r="AZ58">
        <v>0</v>
      </c>
      <c r="BA58">
        <v>23.5</v>
      </c>
      <c r="BB58">
        <v>0</v>
      </c>
      <c r="BC58">
        <v>21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700</v>
      </c>
      <c r="BN58">
        <v>1500</v>
      </c>
      <c r="BO58">
        <v>0</v>
      </c>
      <c r="BP58">
        <v>8</v>
      </c>
      <c r="BQ58">
        <v>0</v>
      </c>
      <c r="BR58">
        <v>0</v>
      </c>
      <c r="BS58">
        <v>0</v>
      </c>
      <c r="BT58">
        <v>0</v>
      </c>
      <c r="BU58">
        <v>1500</v>
      </c>
      <c r="BV58">
        <v>254</v>
      </c>
      <c r="BW58" t="s">
        <v>188</v>
      </c>
      <c r="BX58">
        <v>0</v>
      </c>
      <c r="BY58" t="s">
        <v>1441</v>
      </c>
      <c r="CA58">
        <v>1500</v>
      </c>
      <c r="CB58">
        <v>23.5</v>
      </c>
      <c r="CC58">
        <v>17.600000000000001</v>
      </c>
      <c r="CD58" t="s">
        <v>188</v>
      </c>
      <c r="CE58" t="s">
        <v>1443</v>
      </c>
      <c r="CF58" t="s">
        <v>1444</v>
      </c>
      <c r="CG58" t="s">
        <v>1445</v>
      </c>
      <c r="CI58" t="s">
        <v>1446</v>
      </c>
      <c r="CK58">
        <v>1</v>
      </c>
      <c r="CL58" t="s">
        <v>1447</v>
      </c>
      <c r="CM58" t="s">
        <v>1448</v>
      </c>
      <c r="CN58" t="s">
        <v>602</v>
      </c>
      <c r="CO58">
        <v>0</v>
      </c>
      <c r="CP58" t="s">
        <v>188</v>
      </c>
      <c r="CQ58" t="s">
        <v>188</v>
      </c>
      <c r="CR58">
        <v>51</v>
      </c>
      <c r="CS58">
        <v>0</v>
      </c>
      <c r="CX58">
        <v>0</v>
      </c>
      <c r="CY58">
        <v>0</v>
      </c>
      <c r="CZ58">
        <v>0</v>
      </c>
      <c r="DA58">
        <v>0</v>
      </c>
      <c r="DC58">
        <v>0</v>
      </c>
      <c r="DD58">
        <v>0</v>
      </c>
      <c r="DI58" t="s">
        <v>1449</v>
      </c>
      <c r="DJ58" t="s">
        <v>1450</v>
      </c>
      <c r="DQ58" t="s">
        <v>1451</v>
      </c>
      <c r="DR58">
        <v>15</v>
      </c>
      <c r="EW58" t="s">
        <v>188</v>
      </c>
      <c r="EX58" t="s">
        <v>188</v>
      </c>
      <c r="EY58" t="s">
        <v>188</v>
      </c>
      <c r="EZ58" t="s">
        <v>188</v>
      </c>
      <c r="FA58">
        <v>4</v>
      </c>
      <c r="FB58" t="s">
        <v>188</v>
      </c>
      <c r="FC58" t="s">
        <v>681</v>
      </c>
      <c r="FD58" t="s">
        <v>682</v>
      </c>
      <c r="FE58">
        <v>1.1111111111111101E+31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 t="s">
        <v>188</v>
      </c>
      <c r="GF58" t="s">
        <v>188</v>
      </c>
      <c r="GG58" t="s">
        <v>188</v>
      </c>
      <c r="GH58" s="1">
        <v>45734</v>
      </c>
      <c r="GJ58" t="s">
        <v>812</v>
      </c>
      <c r="GK58" t="s">
        <v>812</v>
      </c>
      <c r="GL58">
        <v>0</v>
      </c>
      <c r="GM58">
        <v>0</v>
      </c>
      <c r="GN58">
        <v>50.8</v>
      </c>
      <c r="GO58">
        <v>50.8</v>
      </c>
      <c r="GP58">
        <v>0</v>
      </c>
      <c r="GR58" s="1">
        <v>45734</v>
      </c>
      <c r="GV58" t="s">
        <v>188</v>
      </c>
      <c r="GW58" t="s">
        <v>188</v>
      </c>
      <c r="GX58" t="s">
        <v>188</v>
      </c>
      <c r="GY58" t="s">
        <v>188</v>
      </c>
      <c r="GZ58" t="s">
        <v>188</v>
      </c>
      <c r="HA58" t="s">
        <v>188</v>
      </c>
      <c r="HB58" t="s">
        <v>188</v>
      </c>
      <c r="HC58" t="s">
        <v>188</v>
      </c>
      <c r="HD58" t="s">
        <v>188</v>
      </c>
      <c r="HE58" t="s">
        <v>188</v>
      </c>
      <c r="HH58">
        <v>0</v>
      </c>
      <c r="HI58">
        <v>0</v>
      </c>
      <c r="HJ58">
        <v>22.72</v>
      </c>
      <c r="HK58">
        <v>16.07</v>
      </c>
      <c r="HL58">
        <v>7.04</v>
      </c>
      <c r="HN58" t="s">
        <v>188</v>
      </c>
      <c r="IS58">
        <v>0</v>
      </c>
      <c r="IT58">
        <v>0</v>
      </c>
      <c r="IU58">
        <v>0</v>
      </c>
      <c r="IV58">
        <v>0</v>
      </c>
      <c r="IW58">
        <v>0</v>
      </c>
      <c r="IX58" t="s">
        <v>1452</v>
      </c>
      <c r="IY58">
        <v>0</v>
      </c>
      <c r="IZ58">
        <v>0</v>
      </c>
      <c r="JA58">
        <v>0</v>
      </c>
      <c r="JB58">
        <v>0</v>
      </c>
      <c r="JC58" t="s">
        <v>613</v>
      </c>
      <c r="JD58" t="s">
        <v>1453</v>
      </c>
      <c r="JE58" t="s">
        <v>1454</v>
      </c>
      <c r="JF58">
        <v>0</v>
      </c>
      <c r="JG58" t="s">
        <v>1455</v>
      </c>
      <c r="JH58" t="s">
        <v>188</v>
      </c>
      <c r="JI58">
        <v>0</v>
      </c>
      <c r="JJ58" t="s">
        <v>188</v>
      </c>
      <c r="JK58">
        <v>7.01</v>
      </c>
      <c r="JL58">
        <v>0</v>
      </c>
      <c r="JM58">
        <v>1</v>
      </c>
    </row>
    <row r="59" spans="1:273" x14ac:dyDescent="0.3">
      <c r="A59" t="s">
        <v>1456</v>
      </c>
      <c r="B59" t="s">
        <v>302</v>
      </c>
      <c r="C59" t="s">
        <v>340</v>
      </c>
      <c r="D59" t="s">
        <v>590</v>
      </c>
      <c r="E59" t="s">
        <v>1114</v>
      </c>
      <c r="F59" t="s">
        <v>592</v>
      </c>
      <c r="G59">
        <v>8</v>
      </c>
      <c r="H59" t="s">
        <v>1457</v>
      </c>
      <c r="J59" t="s">
        <v>661</v>
      </c>
      <c r="N59">
        <v>1</v>
      </c>
      <c r="O59">
        <v>1</v>
      </c>
      <c r="P59">
        <v>1</v>
      </c>
      <c r="Q59">
        <v>7</v>
      </c>
      <c r="R59">
        <v>2</v>
      </c>
      <c r="S59">
        <v>0</v>
      </c>
      <c r="T59">
        <v>0</v>
      </c>
      <c r="U59">
        <v>0</v>
      </c>
      <c r="V59" t="s">
        <v>188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 t="s">
        <v>596</v>
      </c>
      <c r="AI59">
        <v>1</v>
      </c>
      <c r="AJ59" t="s">
        <v>199</v>
      </c>
      <c r="AK59">
        <v>1</v>
      </c>
      <c r="AL59">
        <v>3.4</v>
      </c>
      <c r="AM59">
        <v>17.600000000000001</v>
      </c>
      <c r="AN59">
        <v>0</v>
      </c>
      <c r="AO59">
        <v>0</v>
      </c>
      <c r="AP59">
        <v>0</v>
      </c>
      <c r="AQ59">
        <v>0</v>
      </c>
      <c r="AR59">
        <v>23.4</v>
      </c>
      <c r="AS59">
        <v>16.2</v>
      </c>
      <c r="AT59">
        <v>40.94</v>
      </c>
      <c r="AU59">
        <v>0</v>
      </c>
      <c r="AV59">
        <v>0</v>
      </c>
      <c r="AW59">
        <v>14.81</v>
      </c>
      <c r="AX59">
        <v>18.21</v>
      </c>
      <c r="AY59">
        <v>6.46</v>
      </c>
      <c r="AZ59">
        <v>0</v>
      </c>
      <c r="BA59">
        <v>23.5</v>
      </c>
      <c r="BB59">
        <v>0</v>
      </c>
      <c r="BC59">
        <v>21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700</v>
      </c>
      <c r="BN59">
        <v>1500</v>
      </c>
      <c r="BO59">
        <v>0</v>
      </c>
      <c r="BP59">
        <v>8</v>
      </c>
      <c r="BQ59">
        <v>0</v>
      </c>
      <c r="BR59">
        <v>0</v>
      </c>
      <c r="BS59">
        <v>0</v>
      </c>
      <c r="BT59">
        <v>0</v>
      </c>
      <c r="BU59">
        <v>1500</v>
      </c>
      <c r="BV59">
        <v>254</v>
      </c>
      <c r="BW59" t="s">
        <v>188</v>
      </c>
      <c r="BX59">
        <v>0</v>
      </c>
      <c r="BY59" t="s">
        <v>1456</v>
      </c>
      <c r="CA59">
        <v>1500</v>
      </c>
      <c r="CB59">
        <v>23.5</v>
      </c>
      <c r="CC59">
        <v>17.600000000000001</v>
      </c>
      <c r="CD59" t="s">
        <v>188</v>
      </c>
      <c r="CE59" t="s">
        <v>1443</v>
      </c>
      <c r="CF59" t="s">
        <v>1444</v>
      </c>
      <c r="CG59" t="s">
        <v>1445</v>
      </c>
      <c r="CI59" t="s">
        <v>1446</v>
      </c>
      <c r="CK59">
        <v>1</v>
      </c>
      <c r="CL59" t="s">
        <v>1447</v>
      </c>
      <c r="CM59" t="s">
        <v>1448</v>
      </c>
      <c r="CN59" t="s">
        <v>602</v>
      </c>
      <c r="CO59">
        <v>0</v>
      </c>
      <c r="CP59" t="s">
        <v>188</v>
      </c>
      <c r="CQ59" t="s">
        <v>188</v>
      </c>
      <c r="CR59">
        <v>51</v>
      </c>
      <c r="CS59">
        <v>0</v>
      </c>
      <c r="CX59">
        <v>0</v>
      </c>
      <c r="CY59">
        <v>0</v>
      </c>
      <c r="CZ59">
        <v>0</v>
      </c>
      <c r="DA59">
        <v>0</v>
      </c>
      <c r="DC59">
        <v>0</v>
      </c>
      <c r="DD59">
        <v>0</v>
      </c>
      <c r="DI59" t="s">
        <v>1449</v>
      </c>
      <c r="DJ59" t="s">
        <v>1458</v>
      </c>
      <c r="DQ59" t="s">
        <v>1459</v>
      </c>
      <c r="DR59">
        <v>30</v>
      </c>
      <c r="DS59" t="s">
        <v>1460</v>
      </c>
      <c r="DT59">
        <v>55</v>
      </c>
      <c r="EW59" t="s">
        <v>188</v>
      </c>
      <c r="EX59" t="s">
        <v>188</v>
      </c>
      <c r="EY59" t="s">
        <v>188</v>
      </c>
      <c r="EZ59" t="s">
        <v>188</v>
      </c>
      <c r="FA59">
        <v>4</v>
      </c>
      <c r="FB59" t="s">
        <v>188</v>
      </c>
      <c r="FC59" t="s">
        <v>681</v>
      </c>
      <c r="FD59" t="s">
        <v>682</v>
      </c>
      <c r="FE59">
        <v>1.1111111111111101E+31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 t="s">
        <v>188</v>
      </c>
      <c r="GF59" t="s">
        <v>188</v>
      </c>
      <c r="GG59" t="s">
        <v>188</v>
      </c>
      <c r="GH59" s="1">
        <v>45734</v>
      </c>
      <c r="GJ59" t="s">
        <v>812</v>
      </c>
      <c r="GK59" t="s">
        <v>610</v>
      </c>
      <c r="GL59">
        <v>0</v>
      </c>
      <c r="GM59">
        <v>0</v>
      </c>
      <c r="GN59">
        <v>50.8</v>
      </c>
      <c r="GO59">
        <v>50.8</v>
      </c>
      <c r="GP59">
        <v>0</v>
      </c>
      <c r="GR59" s="1">
        <v>45735</v>
      </c>
      <c r="GV59" t="s">
        <v>188</v>
      </c>
      <c r="GW59" t="s">
        <v>188</v>
      </c>
      <c r="GX59" t="s">
        <v>188</v>
      </c>
      <c r="GY59" t="s">
        <v>188</v>
      </c>
      <c r="GZ59" t="s">
        <v>188</v>
      </c>
      <c r="HA59" t="s">
        <v>188</v>
      </c>
      <c r="HB59" t="s">
        <v>188</v>
      </c>
      <c r="HC59" t="s">
        <v>188</v>
      </c>
      <c r="HD59" t="s">
        <v>188</v>
      </c>
      <c r="HE59" t="s">
        <v>188</v>
      </c>
      <c r="HH59">
        <v>0</v>
      </c>
      <c r="HI59">
        <v>0</v>
      </c>
      <c r="HJ59">
        <v>22.72</v>
      </c>
      <c r="HK59">
        <v>16.07</v>
      </c>
      <c r="HL59">
        <v>7.04</v>
      </c>
      <c r="HN59" t="s">
        <v>188</v>
      </c>
      <c r="IS59">
        <v>0</v>
      </c>
      <c r="IT59">
        <v>0</v>
      </c>
      <c r="IU59">
        <v>0</v>
      </c>
      <c r="IV59">
        <v>0</v>
      </c>
      <c r="IW59">
        <v>0</v>
      </c>
      <c r="IX59" t="s">
        <v>1452</v>
      </c>
      <c r="IY59">
        <v>0</v>
      </c>
      <c r="IZ59">
        <v>0</v>
      </c>
      <c r="JA59">
        <v>0</v>
      </c>
      <c r="JB59">
        <v>0</v>
      </c>
      <c r="JC59" t="s">
        <v>613</v>
      </c>
      <c r="JD59" t="s">
        <v>1453</v>
      </c>
      <c r="JE59" t="s">
        <v>1454</v>
      </c>
      <c r="JF59">
        <v>0</v>
      </c>
      <c r="JG59" t="s">
        <v>1455</v>
      </c>
      <c r="JH59" t="s">
        <v>188</v>
      </c>
      <c r="JI59">
        <v>0</v>
      </c>
      <c r="JJ59" t="s">
        <v>188</v>
      </c>
      <c r="JK59">
        <v>7.01</v>
      </c>
      <c r="JL59">
        <v>0</v>
      </c>
      <c r="JM59">
        <v>1</v>
      </c>
    </row>
    <row r="60" spans="1:273" x14ac:dyDescent="0.3">
      <c r="A60" t="s">
        <v>1461</v>
      </c>
      <c r="B60" t="s">
        <v>302</v>
      </c>
      <c r="C60" t="s">
        <v>340</v>
      </c>
      <c r="D60" t="s">
        <v>657</v>
      </c>
      <c r="E60" t="s">
        <v>1114</v>
      </c>
      <c r="F60" t="s">
        <v>592</v>
      </c>
      <c r="G60">
        <v>5</v>
      </c>
      <c r="H60" t="s">
        <v>1462</v>
      </c>
      <c r="I60" t="s">
        <v>594</v>
      </c>
      <c r="J60" t="s">
        <v>661</v>
      </c>
      <c r="N60">
        <v>5</v>
      </c>
      <c r="O60">
        <v>5</v>
      </c>
      <c r="P60">
        <v>1</v>
      </c>
      <c r="Q60">
        <v>10</v>
      </c>
      <c r="R60">
        <v>2</v>
      </c>
      <c r="S60">
        <v>0</v>
      </c>
      <c r="T60">
        <v>0</v>
      </c>
      <c r="U60">
        <v>0</v>
      </c>
      <c r="V60" t="s">
        <v>188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 t="s">
        <v>596</v>
      </c>
      <c r="AI60">
        <v>1</v>
      </c>
      <c r="AJ60" t="s">
        <v>199</v>
      </c>
      <c r="AK60">
        <v>1</v>
      </c>
      <c r="AL60">
        <v>114.5</v>
      </c>
      <c r="AM60">
        <v>2040</v>
      </c>
      <c r="AN60">
        <v>0</v>
      </c>
      <c r="AO60">
        <v>0</v>
      </c>
      <c r="AP60">
        <v>0</v>
      </c>
      <c r="AQ60">
        <v>1400</v>
      </c>
      <c r="AR60">
        <v>73</v>
      </c>
      <c r="AS60">
        <v>10.7</v>
      </c>
      <c r="AT60">
        <v>85.09</v>
      </c>
      <c r="AU60">
        <v>0</v>
      </c>
      <c r="AV60">
        <v>0</v>
      </c>
      <c r="AW60">
        <v>1786.79</v>
      </c>
      <c r="AX60">
        <v>57.11</v>
      </c>
      <c r="AY60">
        <v>1175.7</v>
      </c>
      <c r="AZ60">
        <v>10.74</v>
      </c>
      <c r="BA60">
        <v>73.3</v>
      </c>
      <c r="BB60">
        <v>0</v>
      </c>
      <c r="BC60">
        <v>29</v>
      </c>
      <c r="BD60">
        <v>101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200</v>
      </c>
      <c r="BN60">
        <v>450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450</v>
      </c>
      <c r="BV60">
        <v>1370</v>
      </c>
      <c r="BW60" t="s">
        <v>188</v>
      </c>
      <c r="BX60">
        <v>0</v>
      </c>
      <c r="BY60" t="s">
        <v>1463</v>
      </c>
      <c r="CA60" t="s">
        <v>1464</v>
      </c>
      <c r="CB60" t="s">
        <v>1465</v>
      </c>
      <c r="CC60" t="s">
        <v>1466</v>
      </c>
      <c r="CD60" t="s">
        <v>188</v>
      </c>
      <c r="CE60" t="s">
        <v>1467</v>
      </c>
      <c r="CF60" t="s">
        <v>1468</v>
      </c>
      <c r="CG60" t="s">
        <v>1469</v>
      </c>
      <c r="CI60" t="s">
        <v>1470</v>
      </c>
      <c r="CK60" t="s">
        <v>1471</v>
      </c>
      <c r="CL60" t="s">
        <v>1472</v>
      </c>
      <c r="CM60" t="s">
        <v>1473</v>
      </c>
      <c r="CN60" t="s">
        <v>1474</v>
      </c>
      <c r="CO60" t="s">
        <v>995</v>
      </c>
      <c r="CP60" t="s">
        <v>188</v>
      </c>
      <c r="CQ60" t="s">
        <v>188</v>
      </c>
      <c r="CR60">
        <v>130</v>
      </c>
      <c r="CS60">
        <v>0</v>
      </c>
      <c r="CX60">
        <v>0</v>
      </c>
      <c r="CY60">
        <v>0</v>
      </c>
      <c r="CZ60">
        <v>0</v>
      </c>
      <c r="DA60">
        <v>0</v>
      </c>
      <c r="DC60">
        <v>0</v>
      </c>
      <c r="DD60">
        <v>0</v>
      </c>
      <c r="DI60" t="s">
        <v>1462</v>
      </c>
      <c r="DJ60" t="s">
        <v>1475</v>
      </c>
      <c r="DK60" t="s">
        <v>677</v>
      </c>
      <c r="DQ60" t="s">
        <v>678</v>
      </c>
      <c r="DR60">
        <v>600</v>
      </c>
      <c r="DS60" t="s">
        <v>679</v>
      </c>
      <c r="DT60">
        <v>900</v>
      </c>
      <c r="DU60" t="s">
        <v>680</v>
      </c>
      <c r="DV60">
        <v>1400</v>
      </c>
      <c r="EW60" t="s">
        <v>188</v>
      </c>
      <c r="EX60" t="s">
        <v>188</v>
      </c>
      <c r="EY60" t="s">
        <v>188</v>
      </c>
      <c r="EZ60" t="s">
        <v>188</v>
      </c>
      <c r="FA60">
        <v>4</v>
      </c>
      <c r="FB60" t="s">
        <v>188</v>
      </c>
      <c r="FC60" t="s">
        <v>681</v>
      </c>
      <c r="FD60" t="s">
        <v>682</v>
      </c>
      <c r="FE60">
        <v>1.11111111111111E+19</v>
      </c>
      <c r="FF60">
        <v>0</v>
      </c>
      <c r="FG60">
        <v>2200</v>
      </c>
      <c r="FH60">
        <v>5</v>
      </c>
      <c r="FI60">
        <v>1</v>
      </c>
      <c r="FJ60">
        <v>5</v>
      </c>
      <c r="FK60">
        <v>0</v>
      </c>
      <c r="FL60">
        <v>80</v>
      </c>
      <c r="FM60">
        <v>8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 t="s">
        <v>188</v>
      </c>
      <c r="GF60" t="s">
        <v>188</v>
      </c>
      <c r="GG60" t="s">
        <v>188</v>
      </c>
      <c r="GH60" s="1">
        <v>45097</v>
      </c>
      <c r="GJ60" t="s">
        <v>610</v>
      </c>
      <c r="GK60" t="s">
        <v>610</v>
      </c>
      <c r="GL60">
        <v>0</v>
      </c>
      <c r="GM60">
        <v>0</v>
      </c>
      <c r="GN60">
        <v>508</v>
      </c>
      <c r="GO60">
        <v>457.2</v>
      </c>
      <c r="GP60">
        <v>0</v>
      </c>
      <c r="GR60" s="1">
        <v>45160</v>
      </c>
      <c r="GV60" t="s">
        <v>188</v>
      </c>
      <c r="GW60" t="s">
        <v>188</v>
      </c>
      <c r="GX60" t="s">
        <v>188</v>
      </c>
      <c r="GY60" t="s">
        <v>188</v>
      </c>
      <c r="GZ60" t="s">
        <v>188</v>
      </c>
      <c r="HA60" t="s">
        <v>188</v>
      </c>
      <c r="HB60" t="s">
        <v>188</v>
      </c>
      <c r="HC60" t="s">
        <v>188</v>
      </c>
      <c r="HD60" t="s">
        <v>188</v>
      </c>
      <c r="HE60" t="s">
        <v>188</v>
      </c>
      <c r="HH60">
        <v>0</v>
      </c>
      <c r="HI60">
        <v>0</v>
      </c>
      <c r="HJ60">
        <v>73.67</v>
      </c>
      <c r="HK60">
        <v>51.25</v>
      </c>
      <c r="HL60">
        <v>1347.38</v>
      </c>
      <c r="HN60" t="s">
        <v>188</v>
      </c>
      <c r="IS60">
        <v>0</v>
      </c>
      <c r="IT60">
        <v>0</v>
      </c>
      <c r="IU60">
        <v>0</v>
      </c>
      <c r="IV60">
        <v>0</v>
      </c>
      <c r="IW60">
        <v>0</v>
      </c>
      <c r="IX60" t="s">
        <v>1476</v>
      </c>
      <c r="IY60">
        <v>0</v>
      </c>
      <c r="IZ60">
        <v>0</v>
      </c>
      <c r="JA60">
        <v>0</v>
      </c>
      <c r="JB60">
        <v>0</v>
      </c>
      <c r="JC60" t="s">
        <v>613</v>
      </c>
      <c r="JD60" t="s">
        <v>1477</v>
      </c>
      <c r="JE60" t="s">
        <v>1478</v>
      </c>
      <c r="JF60">
        <v>2</v>
      </c>
      <c r="JG60" t="s">
        <v>1479</v>
      </c>
      <c r="JH60" t="s">
        <v>188</v>
      </c>
      <c r="JI60">
        <v>0</v>
      </c>
      <c r="JJ60" t="s">
        <v>188</v>
      </c>
      <c r="JK60">
        <v>1275.4100000000001</v>
      </c>
      <c r="JL60">
        <v>11.5</v>
      </c>
      <c r="JM60">
        <v>5</v>
      </c>
    </row>
    <row r="61" spans="1:273" x14ac:dyDescent="0.3">
      <c r="A61" t="s">
        <v>1480</v>
      </c>
      <c r="B61" t="s">
        <v>302</v>
      </c>
      <c r="C61" t="s">
        <v>340</v>
      </c>
      <c r="D61" t="s">
        <v>590</v>
      </c>
      <c r="E61" t="s">
        <v>1114</v>
      </c>
      <c r="F61" t="s">
        <v>592</v>
      </c>
      <c r="G61">
        <v>8</v>
      </c>
      <c r="H61" t="s">
        <v>1481</v>
      </c>
      <c r="I61" t="s">
        <v>594</v>
      </c>
      <c r="J61" t="s">
        <v>661</v>
      </c>
      <c r="N61">
        <v>3</v>
      </c>
      <c r="O61">
        <v>3</v>
      </c>
      <c r="P61">
        <v>1</v>
      </c>
      <c r="Q61">
        <v>11</v>
      </c>
      <c r="R61">
        <v>2</v>
      </c>
      <c r="S61">
        <v>0</v>
      </c>
      <c r="T61">
        <v>0</v>
      </c>
      <c r="U61">
        <v>0</v>
      </c>
      <c r="V61" t="s">
        <v>188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0</v>
      </c>
      <c r="AH61" t="s">
        <v>596</v>
      </c>
      <c r="AI61">
        <v>1</v>
      </c>
      <c r="AJ61" t="s">
        <v>199</v>
      </c>
      <c r="AK61">
        <v>1</v>
      </c>
      <c r="AL61">
        <v>64</v>
      </c>
      <c r="AM61">
        <v>601.20000000000005</v>
      </c>
      <c r="AN61">
        <v>0</v>
      </c>
      <c r="AO61">
        <v>0</v>
      </c>
      <c r="AP61">
        <v>0</v>
      </c>
      <c r="AQ61">
        <v>0</v>
      </c>
      <c r="AR61">
        <v>58.3</v>
      </c>
      <c r="AS61">
        <v>12.1</v>
      </c>
      <c r="AT61">
        <v>67.69</v>
      </c>
      <c r="AU61">
        <v>0</v>
      </c>
      <c r="AV61">
        <v>0</v>
      </c>
      <c r="AW61">
        <v>443.11</v>
      </c>
      <c r="AX61">
        <v>53.34</v>
      </c>
      <c r="AY61">
        <v>342.31</v>
      </c>
      <c r="AZ61">
        <v>6.14</v>
      </c>
      <c r="BA61">
        <v>58.3</v>
      </c>
      <c r="BB61">
        <v>0</v>
      </c>
      <c r="BC61">
        <v>27</v>
      </c>
      <c r="BD61">
        <v>136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400</v>
      </c>
      <c r="BN61">
        <v>800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800</v>
      </c>
      <c r="BV61">
        <v>715</v>
      </c>
      <c r="BW61" t="s">
        <v>188</v>
      </c>
      <c r="BX61">
        <v>0</v>
      </c>
      <c r="BY61" t="s">
        <v>1482</v>
      </c>
      <c r="CA61" t="s">
        <v>1483</v>
      </c>
      <c r="CB61" t="s">
        <v>1484</v>
      </c>
      <c r="CC61" t="s">
        <v>1485</v>
      </c>
      <c r="CD61" t="s">
        <v>188</v>
      </c>
      <c r="CE61" t="s">
        <v>1486</v>
      </c>
      <c r="CF61" t="s">
        <v>1487</v>
      </c>
      <c r="CG61" t="s">
        <v>1488</v>
      </c>
      <c r="CI61" t="s">
        <v>1489</v>
      </c>
      <c r="CK61" t="s">
        <v>1490</v>
      </c>
      <c r="CL61" t="s">
        <v>1491</v>
      </c>
      <c r="CM61" t="s">
        <v>1492</v>
      </c>
      <c r="CN61" t="s">
        <v>1493</v>
      </c>
      <c r="CO61" t="s">
        <v>674</v>
      </c>
      <c r="CP61" t="s">
        <v>188</v>
      </c>
      <c r="CQ61" t="s">
        <v>188</v>
      </c>
      <c r="CR61">
        <v>0</v>
      </c>
      <c r="CS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Q61" t="s">
        <v>1196</v>
      </c>
      <c r="DR61">
        <v>260</v>
      </c>
      <c r="DS61" t="s">
        <v>1197</v>
      </c>
      <c r="DT61">
        <v>425</v>
      </c>
      <c r="EW61" t="s">
        <v>188</v>
      </c>
      <c r="EX61" t="s">
        <v>188</v>
      </c>
      <c r="EY61" t="s">
        <v>188</v>
      </c>
      <c r="EZ61" t="s">
        <v>188</v>
      </c>
      <c r="FA61">
        <v>4</v>
      </c>
      <c r="FB61" t="s">
        <v>188</v>
      </c>
      <c r="FC61" t="s">
        <v>681</v>
      </c>
      <c r="FD61" t="s">
        <v>682</v>
      </c>
      <c r="FE61">
        <v>1.11111111111111E+19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 t="s">
        <v>188</v>
      </c>
      <c r="GF61" t="s">
        <v>188</v>
      </c>
      <c r="GG61" t="s">
        <v>188</v>
      </c>
      <c r="GH61" s="1">
        <v>45149</v>
      </c>
      <c r="GJ61" t="s">
        <v>610</v>
      </c>
      <c r="GK61" t="s">
        <v>610</v>
      </c>
      <c r="GL61">
        <v>0</v>
      </c>
      <c r="GM61">
        <v>0</v>
      </c>
      <c r="GN61">
        <v>455</v>
      </c>
      <c r="GO61">
        <v>203</v>
      </c>
      <c r="GP61">
        <v>0</v>
      </c>
      <c r="GR61" s="1">
        <v>45162</v>
      </c>
      <c r="GV61" t="s">
        <v>188</v>
      </c>
      <c r="GW61" t="s">
        <v>188</v>
      </c>
      <c r="GX61" t="s">
        <v>188</v>
      </c>
      <c r="GY61" t="s">
        <v>188</v>
      </c>
      <c r="GZ61" t="s">
        <v>188</v>
      </c>
      <c r="HA61" t="s">
        <v>188</v>
      </c>
      <c r="HB61" t="s">
        <v>188</v>
      </c>
      <c r="HC61" t="s">
        <v>188</v>
      </c>
      <c r="HD61" t="s">
        <v>188</v>
      </c>
      <c r="HE61" t="s">
        <v>188</v>
      </c>
      <c r="HH61">
        <v>0</v>
      </c>
      <c r="HI61">
        <v>0</v>
      </c>
      <c r="HJ61">
        <v>58.73</v>
      </c>
      <c r="HK61">
        <v>49.57</v>
      </c>
      <c r="HL61">
        <v>387.51</v>
      </c>
      <c r="HN61" t="s">
        <v>188</v>
      </c>
      <c r="IS61">
        <v>0</v>
      </c>
      <c r="IT61">
        <v>0</v>
      </c>
      <c r="IU61">
        <v>0</v>
      </c>
      <c r="IV61">
        <v>0</v>
      </c>
      <c r="IW61">
        <v>0</v>
      </c>
      <c r="IX61" t="s">
        <v>1494</v>
      </c>
      <c r="IY61">
        <v>0</v>
      </c>
      <c r="IZ61">
        <v>0</v>
      </c>
      <c r="JA61">
        <v>0</v>
      </c>
      <c r="JB61">
        <v>0</v>
      </c>
      <c r="JC61" t="s">
        <v>613</v>
      </c>
      <c r="JD61" t="s">
        <v>1495</v>
      </c>
      <c r="JE61" t="s">
        <v>1496</v>
      </c>
      <c r="JF61">
        <v>0</v>
      </c>
      <c r="JG61" t="s">
        <v>1497</v>
      </c>
      <c r="JH61" t="s">
        <v>188</v>
      </c>
      <c r="JI61">
        <v>0</v>
      </c>
      <c r="JJ61" t="s">
        <v>188</v>
      </c>
      <c r="JK61">
        <v>422.72</v>
      </c>
      <c r="JL61">
        <v>7</v>
      </c>
      <c r="JM61">
        <v>3</v>
      </c>
    </row>
    <row r="62" spans="1:273" x14ac:dyDescent="0.3">
      <c r="A62" t="s">
        <v>734</v>
      </c>
      <c r="B62" t="s">
        <v>302</v>
      </c>
      <c r="C62" t="s">
        <v>340</v>
      </c>
      <c r="D62" t="s">
        <v>590</v>
      </c>
      <c r="E62" t="s">
        <v>1114</v>
      </c>
      <c r="F62" t="s">
        <v>592</v>
      </c>
      <c r="G62">
        <v>4</v>
      </c>
      <c r="H62" t="s">
        <v>734</v>
      </c>
      <c r="I62" t="s">
        <v>594</v>
      </c>
      <c r="J62" t="s">
        <v>661</v>
      </c>
      <c r="N62">
        <v>3</v>
      </c>
      <c r="O62">
        <v>3</v>
      </c>
      <c r="P62">
        <v>1</v>
      </c>
      <c r="Q62">
        <v>11</v>
      </c>
      <c r="R62">
        <v>2</v>
      </c>
      <c r="S62">
        <v>0</v>
      </c>
      <c r="T62">
        <v>0</v>
      </c>
      <c r="U62">
        <v>0</v>
      </c>
      <c r="V62" t="s">
        <v>188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1</v>
      </c>
      <c r="AD62">
        <v>1</v>
      </c>
      <c r="AE62">
        <v>0</v>
      </c>
      <c r="AF62">
        <v>0</v>
      </c>
      <c r="AG62">
        <v>0</v>
      </c>
      <c r="AH62" t="s">
        <v>869</v>
      </c>
      <c r="AI62">
        <v>0.2777</v>
      </c>
      <c r="AJ62" t="s">
        <v>199</v>
      </c>
      <c r="AK62">
        <v>1</v>
      </c>
      <c r="AL62">
        <v>5.9</v>
      </c>
      <c r="AM62">
        <v>82.6</v>
      </c>
      <c r="AN62">
        <v>0</v>
      </c>
      <c r="AO62">
        <v>0</v>
      </c>
      <c r="AP62">
        <v>0</v>
      </c>
      <c r="AQ62">
        <v>0</v>
      </c>
      <c r="AR62">
        <v>52.9</v>
      </c>
      <c r="AS62">
        <v>5.8</v>
      </c>
      <c r="AT62">
        <v>62.5</v>
      </c>
      <c r="AU62">
        <v>0</v>
      </c>
      <c r="AV62">
        <v>0</v>
      </c>
      <c r="AW62">
        <v>61.72</v>
      </c>
      <c r="AX62">
        <v>49.4</v>
      </c>
      <c r="AY62">
        <v>13.28</v>
      </c>
      <c r="AZ62">
        <v>4.72</v>
      </c>
      <c r="BA62">
        <v>52.9</v>
      </c>
      <c r="BB62">
        <v>0</v>
      </c>
      <c r="BC62">
        <v>15</v>
      </c>
      <c r="BD62">
        <v>90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200</v>
      </c>
      <c r="BN62">
        <v>2200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2200</v>
      </c>
      <c r="BV62">
        <v>257</v>
      </c>
      <c r="BW62" t="s">
        <v>188</v>
      </c>
      <c r="BX62">
        <v>0</v>
      </c>
      <c r="BY62" t="s">
        <v>1498</v>
      </c>
      <c r="CA62" t="s">
        <v>1499</v>
      </c>
      <c r="CB62" t="s">
        <v>1500</v>
      </c>
      <c r="CC62" t="s">
        <v>1501</v>
      </c>
      <c r="CD62" t="s">
        <v>188</v>
      </c>
      <c r="CE62" t="s">
        <v>1502</v>
      </c>
      <c r="CF62" t="s">
        <v>1503</v>
      </c>
      <c r="CG62" t="s">
        <v>1504</v>
      </c>
      <c r="CI62" t="s">
        <v>1505</v>
      </c>
      <c r="CK62" t="s">
        <v>1506</v>
      </c>
      <c r="CL62" t="s">
        <v>1507</v>
      </c>
      <c r="CM62" t="s">
        <v>1508</v>
      </c>
      <c r="CN62" t="s">
        <v>1509</v>
      </c>
      <c r="CO62" t="s">
        <v>674</v>
      </c>
      <c r="CP62" t="s">
        <v>188</v>
      </c>
      <c r="CQ62" t="s">
        <v>188</v>
      </c>
      <c r="CR62">
        <v>0</v>
      </c>
      <c r="CS62">
        <v>0</v>
      </c>
      <c r="CX62">
        <v>0</v>
      </c>
      <c r="CY62">
        <v>0</v>
      </c>
      <c r="CZ62">
        <v>0</v>
      </c>
      <c r="DA62">
        <v>0</v>
      </c>
      <c r="DC62">
        <v>0</v>
      </c>
      <c r="DD62">
        <v>0</v>
      </c>
      <c r="EW62" t="s">
        <v>188</v>
      </c>
      <c r="EX62" t="s">
        <v>188</v>
      </c>
      <c r="EY62" t="s">
        <v>188</v>
      </c>
      <c r="EZ62" t="s">
        <v>188</v>
      </c>
      <c r="FA62">
        <v>4</v>
      </c>
      <c r="FB62" t="s">
        <v>188</v>
      </c>
      <c r="FC62" t="s">
        <v>681</v>
      </c>
      <c r="FD62" t="s">
        <v>682</v>
      </c>
      <c r="FE62">
        <v>1.1111111111111101E+31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 t="s">
        <v>188</v>
      </c>
      <c r="GF62" t="s">
        <v>188</v>
      </c>
      <c r="GG62" t="s">
        <v>188</v>
      </c>
      <c r="GH62" s="1">
        <v>45149</v>
      </c>
      <c r="GJ62" t="s">
        <v>610</v>
      </c>
      <c r="GK62" t="s">
        <v>610</v>
      </c>
      <c r="GN62">
        <v>76.2</v>
      </c>
      <c r="GO62">
        <v>76</v>
      </c>
      <c r="GP62">
        <v>0</v>
      </c>
      <c r="GR62" s="1">
        <v>45152</v>
      </c>
      <c r="GV62" t="s">
        <v>188</v>
      </c>
      <c r="GW62" t="s">
        <v>188</v>
      </c>
      <c r="GX62" t="s">
        <v>188</v>
      </c>
      <c r="GY62" t="s">
        <v>188</v>
      </c>
      <c r="GZ62" t="s">
        <v>188</v>
      </c>
      <c r="HA62" t="s">
        <v>188</v>
      </c>
      <c r="HB62" t="s">
        <v>188</v>
      </c>
      <c r="HC62" t="s">
        <v>188</v>
      </c>
      <c r="HD62" t="s">
        <v>188</v>
      </c>
      <c r="HE62" t="s">
        <v>188</v>
      </c>
      <c r="HH62">
        <v>0</v>
      </c>
      <c r="HI62">
        <v>0</v>
      </c>
      <c r="HJ62">
        <v>53.34</v>
      </c>
      <c r="HK62">
        <v>46.83</v>
      </c>
      <c r="HL62">
        <v>15.88</v>
      </c>
      <c r="HN62" t="s">
        <v>188</v>
      </c>
      <c r="IS62">
        <v>0</v>
      </c>
      <c r="IT62">
        <v>0</v>
      </c>
      <c r="IU62">
        <v>0</v>
      </c>
      <c r="IV62">
        <v>0</v>
      </c>
      <c r="IW62">
        <v>0</v>
      </c>
      <c r="IX62" t="s">
        <v>1510</v>
      </c>
      <c r="IY62">
        <v>0</v>
      </c>
      <c r="IZ62">
        <v>0</v>
      </c>
      <c r="JA62">
        <v>0</v>
      </c>
      <c r="JB62">
        <v>0</v>
      </c>
      <c r="JC62" t="s">
        <v>613</v>
      </c>
      <c r="JD62" t="s">
        <v>1511</v>
      </c>
      <c r="JE62" t="s">
        <v>1512</v>
      </c>
      <c r="JF62">
        <v>0</v>
      </c>
      <c r="JG62" t="s">
        <v>1513</v>
      </c>
      <c r="JH62" t="s">
        <v>188</v>
      </c>
      <c r="JI62">
        <v>0</v>
      </c>
      <c r="JJ62" t="s">
        <v>188</v>
      </c>
      <c r="JK62">
        <v>19.29</v>
      </c>
      <c r="JL62">
        <v>6.5</v>
      </c>
      <c r="JM62">
        <v>3</v>
      </c>
    </row>
    <row r="63" spans="1:273" x14ac:dyDescent="0.3">
      <c r="A63" t="s">
        <v>1514</v>
      </c>
      <c r="B63" t="s">
        <v>302</v>
      </c>
      <c r="C63" t="s">
        <v>340</v>
      </c>
      <c r="D63" t="s">
        <v>657</v>
      </c>
      <c r="E63" t="s">
        <v>1114</v>
      </c>
      <c r="F63" t="s">
        <v>592</v>
      </c>
      <c r="G63">
        <v>5</v>
      </c>
      <c r="H63" t="s">
        <v>1515</v>
      </c>
      <c r="I63" t="s">
        <v>594</v>
      </c>
      <c r="J63" t="s">
        <v>993</v>
      </c>
      <c r="L63" t="s">
        <v>658</v>
      </c>
      <c r="M63" t="s">
        <v>1516</v>
      </c>
      <c r="N63">
        <v>1</v>
      </c>
      <c r="O63">
        <v>1</v>
      </c>
      <c r="P63">
        <v>1</v>
      </c>
      <c r="Q63">
        <v>10</v>
      </c>
      <c r="R63">
        <v>2</v>
      </c>
      <c r="S63">
        <v>0</v>
      </c>
      <c r="T63">
        <v>0</v>
      </c>
      <c r="U63">
        <v>0</v>
      </c>
      <c r="V63" t="s">
        <v>188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 t="s">
        <v>596</v>
      </c>
      <c r="AI63">
        <v>1</v>
      </c>
      <c r="AJ63" t="s">
        <v>199</v>
      </c>
      <c r="AK63">
        <v>1</v>
      </c>
      <c r="AL63">
        <v>7.2</v>
      </c>
      <c r="AM63">
        <v>47</v>
      </c>
      <c r="AN63">
        <v>0</v>
      </c>
      <c r="AO63">
        <v>0</v>
      </c>
      <c r="AP63">
        <v>0</v>
      </c>
      <c r="AQ63">
        <v>55</v>
      </c>
      <c r="AR63">
        <v>88</v>
      </c>
      <c r="AS63">
        <v>66</v>
      </c>
      <c r="AT63">
        <v>63.48</v>
      </c>
      <c r="AU63">
        <v>0</v>
      </c>
      <c r="AV63">
        <v>0</v>
      </c>
      <c r="AW63">
        <v>38.39</v>
      </c>
      <c r="AX63">
        <v>74.61</v>
      </c>
      <c r="AY63">
        <v>44.24</v>
      </c>
      <c r="AZ63">
        <v>17.87</v>
      </c>
      <c r="BA63">
        <v>88</v>
      </c>
      <c r="BB63">
        <v>0</v>
      </c>
      <c r="BC63">
        <v>25</v>
      </c>
      <c r="BD63">
        <v>72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1200</v>
      </c>
      <c r="BN63">
        <v>3200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3200</v>
      </c>
      <c r="BV63">
        <v>214</v>
      </c>
      <c r="BW63" t="s">
        <v>188</v>
      </c>
      <c r="BX63">
        <v>0</v>
      </c>
      <c r="BY63" t="s">
        <v>1516</v>
      </c>
      <c r="CA63">
        <v>3200</v>
      </c>
      <c r="CB63">
        <v>88</v>
      </c>
      <c r="CC63">
        <v>47</v>
      </c>
      <c r="CD63" t="s">
        <v>188</v>
      </c>
      <c r="CE63" t="s">
        <v>1517</v>
      </c>
      <c r="CF63" t="s">
        <v>761</v>
      </c>
      <c r="CG63" t="s">
        <v>1518</v>
      </c>
      <c r="CI63" t="s">
        <v>1519</v>
      </c>
      <c r="CK63">
        <v>5</v>
      </c>
      <c r="CL63" t="s">
        <v>1520</v>
      </c>
      <c r="CM63" t="s">
        <v>1521</v>
      </c>
      <c r="CN63" t="s">
        <v>1522</v>
      </c>
      <c r="CO63">
        <v>0</v>
      </c>
      <c r="CP63" t="s">
        <v>188</v>
      </c>
      <c r="CQ63" t="s">
        <v>188</v>
      </c>
      <c r="CR63">
        <v>25</v>
      </c>
      <c r="CS63">
        <v>0</v>
      </c>
      <c r="CT63" t="s">
        <v>1523</v>
      </c>
      <c r="CX63">
        <v>0</v>
      </c>
      <c r="CY63">
        <v>2100</v>
      </c>
      <c r="CZ63">
        <v>0</v>
      </c>
      <c r="DA63">
        <v>0</v>
      </c>
      <c r="DB63" t="s">
        <v>1524</v>
      </c>
      <c r="DC63">
        <v>0</v>
      </c>
      <c r="DD63">
        <v>0</v>
      </c>
      <c r="DI63" t="s">
        <v>1525</v>
      </c>
      <c r="DJ63" t="s">
        <v>1526</v>
      </c>
      <c r="DK63">
        <v>50</v>
      </c>
      <c r="DQ63" t="s">
        <v>719</v>
      </c>
      <c r="DR63">
        <v>30</v>
      </c>
      <c r="DS63" t="s">
        <v>720</v>
      </c>
      <c r="DT63">
        <v>55</v>
      </c>
      <c r="DU63">
        <v>0</v>
      </c>
      <c r="DV63">
        <v>0</v>
      </c>
      <c r="EW63" t="s">
        <v>188</v>
      </c>
      <c r="EX63" t="s">
        <v>188</v>
      </c>
      <c r="EY63" t="s">
        <v>188</v>
      </c>
      <c r="EZ63" t="s">
        <v>188</v>
      </c>
      <c r="FA63">
        <v>4</v>
      </c>
      <c r="FB63" t="s">
        <v>188</v>
      </c>
      <c r="FE63">
        <v>1.1111111111111101E+31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 t="s">
        <v>188</v>
      </c>
      <c r="GF63" t="s">
        <v>188</v>
      </c>
      <c r="GG63" t="s">
        <v>188</v>
      </c>
      <c r="GH63" s="1">
        <v>44648</v>
      </c>
      <c r="GI63" t="s">
        <v>608</v>
      </c>
      <c r="GJ63" t="s">
        <v>609</v>
      </c>
      <c r="GK63" t="s">
        <v>610</v>
      </c>
      <c r="GL63">
        <v>0</v>
      </c>
      <c r="GM63">
        <v>0</v>
      </c>
      <c r="GN63">
        <v>76.2</v>
      </c>
      <c r="GO63">
        <v>50.8</v>
      </c>
      <c r="GP63">
        <v>0</v>
      </c>
      <c r="GQ63" t="s">
        <v>611</v>
      </c>
      <c r="GR63" s="1">
        <v>44874</v>
      </c>
      <c r="GV63" t="s">
        <v>188</v>
      </c>
      <c r="GW63" t="s">
        <v>188</v>
      </c>
      <c r="GX63" t="s">
        <v>188</v>
      </c>
      <c r="GY63" t="s">
        <v>188</v>
      </c>
      <c r="GZ63" t="s">
        <v>188</v>
      </c>
      <c r="HA63" t="s">
        <v>188</v>
      </c>
      <c r="HB63" t="s">
        <v>188</v>
      </c>
      <c r="HC63" t="s">
        <v>188</v>
      </c>
      <c r="HD63" t="s">
        <v>188</v>
      </c>
      <c r="HE63" t="s">
        <v>188</v>
      </c>
      <c r="HH63">
        <v>0</v>
      </c>
      <c r="HI63">
        <v>0</v>
      </c>
      <c r="HJ63">
        <v>88.92</v>
      </c>
      <c r="HK63">
        <v>67.09</v>
      </c>
      <c r="HL63">
        <v>49.84</v>
      </c>
      <c r="HN63" t="s">
        <v>188</v>
      </c>
      <c r="IS63">
        <v>0</v>
      </c>
      <c r="IT63">
        <v>0</v>
      </c>
      <c r="IU63">
        <v>0</v>
      </c>
      <c r="IV63">
        <v>0</v>
      </c>
      <c r="IW63">
        <v>0</v>
      </c>
      <c r="IX63" t="s">
        <v>774</v>
      </c>
      <c r="IY63">
        <v>0</v>
      </c>
      <c r="IZ63">
        <v>0</v>
      </c>
      <c r="JA63">
        <v>0</v>
      </c>
      <c r="JB63">
        <v>0</v>
      </c>
      <c r="JC63" t="s">
        <v>613</v>
      </c>
      <c r="JD63" t="s">
        <v>1527</v>
      </c>
      <c r="JE63" t="s">
        <v>791</v>
      </c>
      <c r="JF63">
        <v>0</v>
      </c>
      <c r="JH63" t="s">
        <v>188</v>
      </c>
      <c r="JI63">
        <v>0</v>
      </c>
      <c r="JJ63" t="s">
        <v>188</v>
      </c>
      <c r="JK63">
        <v>50.69</v>
      </c>
      <c r="JL63">
        <v>0</v>
      </c>
      <c r="JM63">
        <v>1</v>
      </c>
    </row>
    <row r="64" spans="1:273" x14ac:dyDescent="0.3">
      <c r="A64" t="s">
        <v>1528</v>
      </c>
      <c r="B64" t="s">
        <v>302</v>
      </c>
      <c r="C64" t="s">
        <v>340</v>
      </c>
      <c r="D64" t="s">
        <v>590</v>
      </c>
      <c r="E64" t="s">
        <v>1114</v>
      </c>
      <c r="F64" t="s">
        <v>592</v>
      </c>
      <c r="G64">
        <v>2</v>
      </c>
      <c r="H64" t="s">
        <v>1529</v>
      </c>
      <c r="I64" t="s">
        <v>594</v>
      </c>
      <c r="J64" t="s">
        <v>993</v>
      </c>
      <c r="L64" t="s">
        <v>658</v>
      </c>
      <c r="M64" s="4">
        <v>46083</v>
      </c>
      <c r="N64">
        <v>4</v>
      </c>
      <c r="O64">
        <v>4</v>
      </c>
      <c r="P64">
        <v>1</v>
      </c>
      <c r="Q64">
        <v>11</v>
      </c>
      <c r="R64">
        <v>2</v>
      </c>
      <c r="S64">
        <v>0</v>
      </c>
      <c r="T64">
        <v>0</v>
      </c>
      <c r="U64">
        <v>0</v>
      </c>
      <c r="V64" t="s">
        <v>188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 t="s">
        <v>596</v>
      </c>
      <c r="AI64">
        <v>1</v>
      </c>
      <c r="AJ64" t="s">
        <v>199</v>
      </c>
      <c r="AK64">
        <v>1</v>
      </c>
      <c r="AL64">
        <v>8.4</v>
      </c>
      <c r="AM64">
        <v>41.6</v>
      </c>
      <c r="AN64">
        <v>0</v>
      </c>
      <c r="AO64">
        <v>0</v>
      </c>
      <c r="AP64">
        <v>0</v>
      </c>
      <c r="AQ64">
        <v>0</v>
      </c>
      <c r="AR64">
        <v>86.9</v>
      </c>
      <c r="AS64">
        <v>71.5</v>
      </c>
      <c r="AT64">
        <v>45.85</v>
      </c>
      <c r="AU64">
        <v>0</v>
      </c>
      <c r="AV64">
        <v>0</v>
      </c>
      <c r="AW64">
        <v>17.579999999999998</v>
      </c>
      <c r="AX64">
        <v>44.5</v>
      </c>
      <c r="AY64">
        <v>16.73</v>
      </c>
      <c r="AZ64">
        <v>4.93</v>
      </c>
      <c r="BA64">
        <v>56.8</v>
      </c>
      <c r="BB64">
        <v>0</v>
      </c>
      <c r="BC64">
        <v>11</v>
      </c>
      <c r="BD64">
        <v>58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850</v>
      </c>
      <c r="BN64">
        <v>1450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1450</v>
      </c>
      <c r="BV64">
        <v>214</v>
      </c>
      <c r="BW64" t="s">
        <v>188</v>
      </c>
      <c r="BX64">
        <v>0</v>
      </c>
      <c r="BY64" t="s">
        <v>1530</v>
      </c>
      <c r="CA64" t="s">
        <v>1531</v>
      </c>
      <c r="CB64" t="s">
        <v>1532</v>
      </c>
      <c r="CC64" t="s">
        <v>1533</v>
      </c>
      <c r="CD64" t="s">
        <v>188</v>
      </c>
      <c r="CE64" t="s">
        <v>1534</v>
      </c>
      <c r="CF64" t="s">
        <v>1535</v>
      </c>
      <c r="CG64" t="s">
        <v>1536</v>
      </c>
      <c r="CI64" t="s">
        <v>1537</v>
      </c>
      <c r="CK64" t="s">
        <v>1538</v>
      </c>
      <c r="CL64" t="s">
        <v>1539</v>
      </c>
      <c r="CM64" t="s">
        <v>1540</v>
      </c>
      <c r="CN64" t="s">
        <v>1541</v>
      </c>
      <c r="CO64" t="s">
        <v>930</v>
      </c>
      <c r="CP64" t="s">
        <v>188</v>
      </c>
      <c r="CQ64" t="s">
        <v>188</v>
      </c>
      <c r="CR64">
        <v>48</v>
      </c>
      <c r="CS64">
        <v>0</v>
      </c>
      <c r="CT64" t="s">
        <v>1523</v>
      </c>
      <c r="CX64">
        <v>0</v>
      </c>
      <c r="CY64">
        <v>2100</v>
      </c>
      <c r="CZ64">
        <v>0</v>
      </c>
      <c r="DA64">
        <v>0</v>
      </c>
      <c r="DB64" t="s">
        <v>1542</v>
      </c>
      <c r="DC64">
        <v>0</v>
      </c>
      <c r="DD64">
        <v>0</v>
      </c>
      <c r="DI64" t="s">
        <v>1543</v>
      </c>
      <c r="DJ64" t="s">
        <v>1526</v>
      </c>
      <c r="DK64">
        <v>50</v>
      </c>
      <c r="DL64" t="s">
        <v>1544</v>
      </c>
      <c r="DM64" t="s">
        <v>1545</v>
      </c>
      <c r="DO64" t="s">
        <v>719</v>
      </c>
      <c r="DP64" t="s">
        <v>1546</v>
      </c>
      <c r="DQ64" t="s">
        <v>719</v>
      </c>
      <c r="DR64">
        <v>30</v>
      </c>
      <c r="DS64" t="s">
        <v>720</v>
      </c>
      <c r="DT64">
        <v>55</v>
      </c>
      <c r="DU64">
        <v>0</v>
      </c>
      <c r="DV64">
        <v>0</v>
      </c>
      <c r="DY64" t="s">
        <v>1547</v>
      </c>
      <c r="DZ64" t="s">
        <v>1547</v>
      </c>
      <c r="EA64" t="s">
        <v>1182</v>
      </c>
      <c r="EB64" t="s">
        <v>1183</v>
      </c>
      <c r="EC64" t="s">
        <v>1184</v>
      </c>
      <c r="ED64" t="s">
        <v>1185</v>
      </c>
      <c r="EE64" t="s">
        <v>1186</v>
      </c>
      <c r="EW64" t="s">
        <v>188</v>
      </c>
      <c r="EX64" t="s">
        <v>188</v>
      </c>
      <c r="EY64" t="s">
        <v>188</v>
      </c>
      <c r="EZ64" t="s">
        <v>188</v>
      </c>
      <c r="FA64">
        <v>4</v>
      </c>
      <c r="FB64" t="s">
        <v>188</v>
      </c>
      <c r="FC64" t="s">
        <v>681</v>
      </c>
      <c r="FD64" t="s">
        <v>682</v>
      </c>
      <c r="FE64">
        <v>1111111111111110</v>
      </c>
      <c r="FF64">
        <v>0</v>
      </c>
      <c r="FG64">
        <v>25</v>
      </c>
      <c r="FH64">
        <v>5</v>
      </c>
      <c r="FI64">
        <v>0</v>
      </c>
      <c r="FJ64">
        <v>0</v>
      </c>
      <c r="FK64">
        <v>0</v>
      </c>
      <c r="FL64">
        <v>60</v>
      </c>
      <c r="FM64">
        <v>6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 t="s">
        <v>188</v>
      </c>
      <c r="GF64" t="s">
        <v>188</v>
      </c>
      <c r="GG64" t="s">
        <v>188</v>
      </c>
      <c r="GH64" s="1">
        <v>44648</v>
      </c>
      <c r="GI64" t="s">
        <v>1548</v>
      </c>
      <c r="GJ64" t="s">
        <v>1019</v>
      </c>
      <c r="GK64" t="s">
        <v>812</v>
      </c>
      <c r="GL64">
        <v>0</v>
      </c>
      <c r="GM64">
        <v>0</v>
      </c>
      <c r="GN64">
        <v>76.2</v>
      </c>
      <c r="GO64">
        <v>50.8</v>
      </c>
      <c r="GP64">
        <v>0</v>
      </c>
      <c r="GQ64" t="s">
        <v>611</v>
      </c>
      <c r="GR64" s="1">
        <v>45922</v>
      </c>
      <c r="GS64" t="s">
        <v>1549</v>
      </c>
      <c r="GT64" t="s">
        <v>1550</v>
      </c>
      <c r="GV64" t="s">
        <v>188</v>
      </c>
      <c r="GW64" t="s">
        <v>188</v>
      </c>
      <c r="GX64" t="s">
        <v>188</v>
      </c>
      <c r="GY64" t="s">
        <v>188</v>
      </c>
      <c r="GZ64" t="s">
        <v>188</v>
      </c>
      <c r="HA64" t="s">
        <v>188</v>
      </c>
      <c r="HB64" t="s">
        <v>188</v>
      </c>
      <c r="HC64" t="s">
        <v>188</v>
      </c>
      <c r="HD64" t="s">
        <v>188</v>
      </c>
      <c r="HE64" t="s">
        <v>188</v>
      </c>
      <c r="HH64">
        <v>0</v>
      </c>
      <c r="HI64">
        <v>0</v>
      </c>
      <c r="HJ64">
        <v>56.05</v>
      </c>
      <c r="HK64">
        <v>37.909999999999997</v>
      </c>
      <c r="HL64">
        <v>17.72</v>
      </c>
      <c r="HN64" t="s">
        <v>188</v>
      </c>
      <c r="IS64">
        <v>0</v>
      </c>
      <c r="IT64">
        <v>0</v>
      </c>
      <c r="IU64">
        <v>0</v>
      </c>
      <c r="IV64">
        <v>0</v>
      </c>
      <c r="IW64">
        <v>0</v>
      </c>
      <c r="IX64" t="s">
        <v>1551</v>
      </c>
      <c r="IY64">
        <v>0</v>
      </c>
      <c r="IZ64">
        <v>0</v>
      </c>
      <c r="JA64">
        <v>0</v>
      </c>
      <c r="JB64">
        <v>0</v>
      </c>
      <c r="JC64" t="s">
        <v>613</v>
      </c>
      <c r="JD64" t="s">
        <v>681</v>
      </c>
      <c r="JE64" t="s">
        <v>1552</v>
      </c>
      <c r="JF64">
        <v>2</v>
      </c>
      <c r="JG64" t="s">
        <v>1553</v>
      </c>
      <c r="JH64" t="s">
        <v>188</v>
      </c>
      <c r="JI64">
        <v>0</v>
      </c>
      <c r="JJ64">
        <v>0</v>
      </c>
      <c r="JK64">
        <v>17.989999999999998</v>
      </c>
      <c r="JL64">
        <v>6</v>
      </c>
      <c r="JM64">
        <v>4</v>
      </c>
    </row>
    <row r="65" spans="1:273" x14ac:dyDescent="0.3">
      <c r="A65" t="s">
        <v>1554</v>
      </c>
      <c r="B65" t="s">
        <v>302</v>
      </c>
      <c r="C65" t="s">
        <v>340</v>
      </c>
      <c r="D65" t="s">
        <v>657</v>
      </c>
      <c r="E65" t="s">
        <v>1114</v>
      </c>
      <c r="F65" t="s">
        <v>592</v>
      </c>
      <c r="G65">
        <v>6</v>
      </c>
      <c r="H65" t="s">
        <v>1555</v>
      </c>
      <c r="I65" t="s">
        <v>594</v>
      </c>
      <c r="J65" t="s">
        <v>993</v>
      </c>
      <c r="L65" t="s">
        <v>658</v>
      </c>
      <c r="M65" t="s">
        <v>1516</v>
      </c>
      <c r="N65">
        <v>2</v>
      </c>
      <c r="O65">
        <v>2</v>
      </c>
      <c r="P65">
        <v>1</v>
      </c>
      <c r="Q65">
        <v>9</v>
      </c>
      <c r="R65">
        <v>1</v>
      </c>
      <c r="S65">
        <v>0</v>
      </c>
      <c r="T65">
        <v>0</v>
      </c>
      <c r="U65">
        <v>0</v>
      </c>
      <c r="V65" t="s">
        <v>188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 t="s">
        <v>596</v>
      </c>
      <c r="AI65">
        <v>1</v>
      </c>
      <c r="AJ65" t="s">
        <v>199</v>
      </c>
      <c r="AK65">
        <v>1</v>
      </c>
      <c r="AL65">
        <v>7.2</v>
      </c>
      <c r="AM65">
        <v>47</v>
      </c>
      <c r="AN65">
        <v>0</v>
      </c>
      <c r="AO65">
        <v>0</v>
      </c>
      <c r="AP65">
        <v>0</v>
      </c>
      <c r="AQ65">
        <v>55</v>
      </c>
      <c r="AR65">
        <v>88</v>
      </c>
      <c r="AS65">
        <v>66</v>
      </c>
      <c r="AT65">
        <v>66.849999999999994</v>
      </c>
      <c r="AU65">
        <v>0</v>
      </c>
      <c r="AV65">
        <v>0</v>
      </c>
      <c r="AW65">
        <v>36.79</v>
      </c>
      <c r="AX65">
        <v>68.45</v>
      </c>
      <c r="AY65">
        <v>36.93</v>
      </c>
      <c r="AZ65">
        <v>10.81</v>
      </c>
      <c r="BA65">
        <v>88</v>
      </c>
      <c r="BB65">
        <v>0</v>
      </c>
      <c r="BC65">
        <v>25</v>
      </c>
      <c r="BD65">
        <v>100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1200</v>
      </c>
      <c r="BN65">
        <v>3100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3100</v>
      </c>
      <c r="BV65">
        <v>225</v>
      </c>
      <c r="BW65" t="s">
        <v>188</v>
      </c>
      <c r="BX65">
        <v>0</v>
      </c>
      <c r="BY65" t="s">
        <v>1556</v>
      </c>
      <c r="CA65" t="s">
        <v>1557</v>
      </c>
      <c r="CB65" t="s">
        <v>1558</v>
      </c>
      <c r="CC65" t="s">
        <v>1559</v>
      </c>
      <c r="CD65" t="s">
        <v>188</v>
      </c>
      <c r="CE65" t="s">
        <v>1560</v>
      </c>
      <c r="CF65" t="s">
        <v>1561</v>
      </c>
      <c r="CG65" t="s">
        <v>1562</v>
      </c>
      <c r="CI65" t="s">
        <v>1563</v>
      </c>
      <c r="CK65" t="s">
        <v>859</v>
      </c>
      <c r="CL65" t="s">
        <v>1564</v>
      </c>
      <c r="CM65" t="s">
        <v>1565</v>
      </c>
      <c r="CN65" t="s">
        <v>1566</v>
      </c>
      <c r="CO65" t="s">
        <v>863</v>
      </c>
      <c r="CP65" t="s">
        <v>188</v>
      </c>
      <c r="CQ65" t="s">
        <v>188</v>
      </c>
      <c r="CR65">
        <v>25</v>
      </c>
      <c r="CS65">
        <v>0</v>
      </c>
      <c r="CT65" t="s">
        <v>1567</v>
      </c>
      <c r="CX65">
        <v>0</v>
      </c>
      <c r="CY65">
        <v>2100</v>
      </c>
      <c r="CZ65">
        <v>0</v>
      </c>
      <c r="DA65">
        <v>0</v>
      </c>
      <c r="DB65" t="s">
        <v>1568</v>
      </c>
      <c r="DC65">
        <v>0</v>
      </c>
      <c r="DD65">
        <v>0</v>
      </c>
      <c r="DI65" t="s">
        <v>1543</v>
      </c>
      <c r="DJ65" t="s">
        <v>1526</v>
      </c>
      <c r="DK65">
        <v>50</v>
      </c>
      <c r="DQ65" t="s">
        <v>719</v>
      </c>
      <c r="DR65">
        <v>30</v>
      </c>
      <c r="DS65" t="s">
        <v>720</v>
      </c>
      <c r="DT65">
        <v>55</v>
      </c>
      <c r="DU65">
        <v>0</v>
      </c>
      <c r="DV65">
        <v>0</v>
      </c>
      <c r="EW65" t="s">
        <v>188</v>
      </c>
      <c r="EX65" t="s">
        <v>188</v>
      </c>
      <c r="EY65" t="s">
        <v>188</v>
      </c>
      <c r="EZ65" t="s">
        <v>188</v>
      </c>
      <c r="FA65">
        <v>4</v>
      </c>
      <c r="FB65" t="s">
        <v>188</v>
      </c>
      <c r="FC65" t="s">
        <v>681</v>
      </c>
      <c r="FD65" t="s">
        <v>682</v>
      </c>
      <c r="FE65">
        <v>1.1111111111111101E+31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 t="s">
        <v>188</v>
      </c>
      <c r="GF65" t="s">
        <v>188</v>
      </c>
      <c r="GG65" t="s">
        <v>188</v>
      </c>
      <c r="GH65" s="1">
        <v>45772</v>
      </c>
      <c r="GI65" t="s">
        <v>608</v>
      </c>
      <c r="GJ65" t="s">
        <v>812</v>
      </c>
      <c r="GK65" t="s">
        <v>610</v>
      </c>
      <c r="GL65">
        <v>0</v>
      </c>
      <c r="GM65">
        <v>0</v>
      </c>
      <c r="GN65">
        <v>76.2</v>
      </c>
      <c r="GO65">
        <v>50.8</v>
      </c>
      <c r="GP65">
        <v>0</v>
      </c>
      <c r="GR65" s="1">
        <v>46177</v>
      </c>
      <c r="GV65" t="s">
        <v>188</v>
      </c>
      <c r="GW65" t="s">
        <v>188</v>
      </c>
      <c r="GX65" t="s">
        <v>188</v>
      </c>
      <c r="GY65" t="s">
        <v>188</v>
      </c>
      <c r="GZ65" t="s">
        <v>188</v>
      </c>
      <c r="HA65" t="s">
        <v>188</v>
      </c>
      <c r="HB65" t="s">
        <v>188</v>
      </c>
      <c r="HC65" t="s">
        <v>188</v>
      </c>
      <c r="HD65" t="s">
        <v>188</v>
      </c>
      <c r="HE65" t="s">
        <v>188</v>
      </c>
      <c r="HH65">
        <v>0</v>
      </c>
      <c r="HI65">
        <v>0</v>
      </c>
      <c r="HJ65">
        <v>86.22</v>
      </c>
      <c r="HK65">
        <v>59.64</v>
      </c>
      <c r="HL65">
        <v>41.12</v>
      </c>
      <c r="HN65" t="s">
        <v>188</v>
      </c>
      <c r="IS65">
        <v>0</v>
      </c>
      <c r="IT65">
        <v>0</v>
      </c>
      <c r="IU65">
        <v>0</v>
      </c>
      <c r="IV65">
        <v>0</v>
      </c>
      <c r="IW65">
        <v>0</v>
      </c>
      <c r="IX65" t="s">
        <v>1569</v>
      </c>
      <c r="IY65">
        <v>0</v>
      </c>
      <c r="IZ65">
        <v>0</v>
      </c>
      <c r="JA65">
        <v>0</v>
      </c>
      <c r="JB65">
        <v>0</v>
      </c>
      <c r="JC65" t="s">
        <v>613</v>
      </c>
      <c r="JD65" t="s">
        <v>1570</v>
      </c>
      <c r="JE65" t="s">
        <v>1571</v>
      </c>
      <c r="JF65">
        <v>2</v>
      </c>
      <c r="JG65" t="s">
        <v>1572</v>
      </c>
      <c r="JH65" t="s">
        <v>188</v>
      </c>
      <c r="JI65">
        <v>0</v>
      </c>
      <c r="JJ65">
        <v>0</v>
      </c>
      <c r="JK65">
        <v>42.99</v>
      </c>
      <c r="JL65">
        <v>15.2</v>
      </c>
      <c r="JM65">
        <v>2</v>
      </c>
    </row>
    <row r="66" spans="1:273" x14ac:dyDescent="0.3">
      <c r="A66" t="s">
        <v>1573</v>
      </c>
      <c r="B66" t="s">
        <v>302</v>
      </c>
      <c r="C66" t="s">
        <v>340</v>
      </c>
      <c r="D66" t="s">
        <v>590</v>
      </c>
      <c r="E66" t="s">
        <v>1114</v>
      </c>
      <c r="F66" t="s">
        <v>659</v>
      </c>
      <c r="G66">
        <v>5</v>
      </c>
      <c r="H66" t="s">
        <v>1574</v>
      </c>
      <c r="I66" t="s">
        <v>594</v>
      </c>
      <c r="J66" t="s">
        <v>993</v>
      </c>
      <c r="L66" t="s">
        <v>658</v>
      </c>
      <c r="M66" t="s">
        <v>1575</v>
      </c>
      <c r="N66">
        <v>1</v>
      </c>
      <c r="O66">
        <v>1</v>
      </c>
      <c r="P66">
        <v>1</v>
      </c>
      <c r="Q66">
        <v>8</v>
      </c>
      <c r="R66">
        <v>2</v>
      </c>
      <c r="S66">
        <v>0</v>
      </c>
      <c r="T66">
        <v>0</v>
      </c>
      <c r="U66">
        <v>0</v>
      </c>
      <c r="V66" t="s">
        <v>188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 t="s">
        <v>596</v>
      </c>
      <c r="AI66">
        <v>1</v>
      </c>
      <c r="AJ66" t="s">
        <v>199</v>
      </c>
      <c r="AK66">
        <v>1</v>
      </c>
      <c r="AL66">
        <v>6.2</v>
      </c>
      <c r="AM66">
        <v>26.1</v>
      </c>
      <c r="AN66">
        <v>0</v>
      </c>
      <c r="AO66">
        <v>0</v>
      </c>
      <c r="AP66">
        <v>0</v>
      </c>
      <c r="AQ66">
        <v>55</v>
      </c>
      <c r="AR66">
        <v>49</v>
      </c>
      <c r="AS66">
        <v>36</v>
      </c>
      <c r="AT66">
        <v>62.06</v>
      </c>
      <c r="AU66">
        <v>0</v>
      </c>
      <c r="AV66">
        <v>0</v>
      </c>
      <c r="AW66">
        <v>21.12</v>
      </c>
      <c r="AX66">
        <v>40.26</v>
      </c>
      <c r="AY66">
        <v>13.43</v>
      </c>
      <c r="AZ66">
        <v>4.2699999999999996</v>
      </c>
      <c r="BA66">
        <v>48</v>
      </c>
      <c r="BB66">
        <v>0</v>
      </c>
      <c r="BC66">
        <v>21</v>
      </c>
      <c r="BD66">
        <v>112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1300</v>
      </c>
      <c r="BN66">
        <v>2300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2300</v>
      </c>
      <c r="BV66">
        <v>215</v>
      </c>
      <c r="BW66" t="s">
        <v>188</v>
      </c>
      <c r="BX66">
        <v>0</v>
      </c>
      <c r="BY66" t="s">
        <v>1575</v>
      </c>
      <c r="CA66">
        <v>2300</v>
      </c>
      <c r="CB66">
        <v>48</v>
      </c>
      <c r="CC66">
        <v>26.1</v>
      </c>
      <c r="CD66" t="s">
        <v>188</v>
      </c>
      <c r="CE66" t="s">
        <v>1576</v>
      </c>
      <c r="CF66" t="s">
        <v>1577</v>
      </c>
      <c r="CG66" t="s">
        <v>1578</v>
      </c>
      <c r="CI66" t="s">
        <v>1579</v>
      </c>
      <c r="CK66">
        <v>5</v>
      </c>
      <c r="CL66" t="s">
        <v>1580</v>
      </c>
      <c r="CM66" t="s">
        <v>1581</v>
      </c>
      <c r="CN66" t="s">
        <v>1582</v>
      </c>
      <c r="CO66">
        <v>0</v>
      </c>
      <c r="CP66" t="s">
        <v>188</v>
      </c>
      <c r="CQ66" t="s">
        <v>188</v>
      </c>
      <c r="CR66">
        <v>21</v>
      </c>
      <c r="CS66">
        <v>0</v>
      </c>
      <c r="CT66" t="s">
        <v>1523</v>
      </c>
      <c r="CX66">
        <v>0</v>
      </c>
      <c r="CY66">
        <v>2100</v>
      </c>
      <c r="CZ66">
        <v>0</v>
      </c>
      <c r="DA66">
        <v>0</v>
      </c>
      <c r="DB66" t="s">
        <v>1583</v>
      </c>
      <c r="DC66">
        <v>0</v>
      </c>
      <c r="DD66">
        <v>0</v>
      </c>
      <c r="DI66" t="s">
        <v>1543</v>
      </c>
      <c r="DJ66" t="s">
        <v>1584</v>
      </c>
      <c r="DK66">
        <v>50</v>
      </c>
      <c r="DQ66" t="s">
        <v>719</v>
      </c>
      <c r="DR66">
        <v>30</v>
      </c>
      <c r="DS66" t="s">
        <v>720</v>
      </c>
      <c r="DT66">
        <v>55</v>
      </c>
      <c r="DU66">
        <v>0</v>
      </c>
      <c r="DV66">
        <v>0</v>
      </c>
      <c r="EW66" t="s">
        <v>188</v>
      </c>
      <c r="EX66" t="s">
        <v>188</v>
      </c>
      <c r="EY66" t="s">
        <v>188</v>
      </c>
      <c r="EZ66" t="s">
        <v>188</v>
      </c>
      <c r="FA66">
        <v>4</v>
      </c>
      <c r="FB66" t="s">
        <v>188</v>
      </c>
      <c r="FC66" t="s">
        <v>681</v>
      </c>
      <c r="FD66" t="s">
        <v>682</v>
      </c>
      <c r="FE66">
        <v>1.1111111111111099E+23</v>
      </c>
      <c r="FF66">
        <v>0</v>
      </c>
      <c r="FG66">
        <v>30</v>
      </c>
      <c r="FH66">
        <v>6</v>
      </c>
      <c r="FI66">
        <v>1</v>
      </c>
      <c r="FJ66">
        <v>5</v>
      </c>
      <c r="FK66">
        <v>0</v>
      </c>
      <c r="FL66">
        <v>50</v>
      </c>
      <c r="FM66">
        <v>10</v>
      </c>
      <c r="FN66">
        <v>1</v>
      </c>
      <c r="FO66">
        <v>5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 t="s">
        <v>188</v>
      </c>
      <c r="GF66" t="s">
        <v>188</v>
      </c>
      <c r="GG66" t="s">
        <v>188</v>
      </c>
      <c r="GH66" s="1">
        <v>44648</v>
      </c>
      <c r="GI66" t="s">
        <v>608</v>
      </c>
      <c r="GJ66" t="s">
        <v>609</v>
      </c>
      <c r="GK66" t="s">
        <v>610</v>
      </c>
      <c r="GL66">
        <v>0</v>
      </c>
      <c r="GM66">
        <v>0</v>
      </c>
      <c r="GN66">
        <v>76.2</v>
      </c>
      <c r="GO66">
        <v>50.8</v>
      </c>
      <c r="GP66">
        <v>0</v>
      </c>
      <c r="GQ66" t="s">
        <v>611</v>
      </c>
      <c r="GR66" s="1">
        <v>44970</v>
      </c>
      <c r="GV66" t="s">
        <v>188</v>
      </c>
      <c r="GW66" t="s">
        <v>188</v>
      </c>
      <c r="GX66" t="s">
        <v>188</v>
      </c>
      <c r="GY66" t="s">
        <v>188</v>
      </c>
      <c r="GZ66" t="s">
        <v>188</v>
      </c>
      <c r="HA66" t="s">
        <v>188</v>
      </c>
      <c r="HB66" t="s">
        <v>188</v>
      </c>
      <c r="HC66" t="s">
        <v>188</v>
      </c>
      <c r="HD66" t="s">
        <v>188</v>
      </c>
      <c r="HE66" t="s">
        <v>188</v>
      </c>
      <c r="HH66">
        <v>0</v>
      </c>
      <c r="HI66">
        <v>0</v>
      </c>
      <c r="HJ66">
        <v>48.42</v>
      </c>
      <c r="HK66">
        <v>36.68</v>
      </c>
      <c r="HL66">
        <v>15.03</v>
      </c>
      <c r="HN66" t="s">
        <v>188</v>
      </c>
      <c r="IS66">
        <v>0</v>
      </c>
      <c r="IT66">
        <v>0</v>
      </c>
      <c r="IU66">
        <v>0</v>
      </c>
      <c r="IV66">
        <v>0</v>
      </c>
      <c r="IW66">
        <v>0</v>
      </c>
      <c r="IX66" t="s">
        <v>1585</v>
      </c>
      <c r="IY66">
        <v>0</v>
      </c>
      <c r="IZ66">
        <v>0</v>
      </c>
      <c r="JA66">
        <v>0</v>
      </c>
      <c r="JB66">
        <v>0</v>
      </c>
      <c r="JC66" t="s">
        <v>613</v>
      </c>
      <c r="JD66" t="s">
        <v>1586</v>
      </c>
      <c r="JE66" t="s">
        <v>791</v>
      </c>
      <c r="JF66">
        <v>0</v>
      </c>
      <c r="JH66" t="s">
        <v>188</v>
      </c>
      <c r="JI66">
        <v>0</v>
      </c>
      <c r="JJ66" t="s">
        <v>188</v>
      </c>
      <c r="JK66">
        <v>15.35</v>
      </c>
      <c r="JL66">
        <v>0</v>
      </c>
      <c r="JM66">
        <v>1</v>
      </c>
    </row>
    <row r="67" spans="1:273" x14ac:dyDescent="0.3">
      <c r="A67" t="s">
        <v>1587</v>
      </c>
      <c r="B67" t="s">
        <v>302</v>
      </c>
      <c r="C67" t="s">
        <v>340</v>
      </c>
      <c r="D67" t="s">
        <v>657</v>
      </c>
      <c r="E67" t="s">
        <v>1114</v>
      </c>
      <c r="F67" t="s">
        <v>592</v>
      </c>
      <c r="G67">
        <v>5</v>
      </c>
      <c r="H67" t="s">
        <v>1588</v>
      </c>
      <c r="I67" t="s">
        <v>594</v>
      </c>
      <c r="J67" t="s">
        <v>993</v>
      </c>
      <c r="L67" t="s">
        <v>1589</v>
      </c>
      <c r="M67" t="s">
        <v>1590</v>
      </c>
      <c r="N67">
        <v>1</v>
      </c>
      <c r="O67">
        <v>1</v>
      </c>
      <c r="P67">
        <v>1</v>
      </c>
      <c r="Q67">
        <v>7</v>
      </c>
      <c r="R67">
        <v>2</v>
      </c>
      <c r="S67">
        <v>0</v>
      </c>
      <c r="T67">
        <v>0</v>
      </c>
      <c r="U67">
        <v>0</v>
      </c>
      <c r="V67" t="s">
        <v>188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 t="s">
        <v>596</v>
      </c>
      <c r="AI67">
        <v>1</v>
      </c>
      <c r="AJ67" t="s">
        <v>199</v>
      </c>
      <c r="AK67">
        <v>1</v>
      </c>
      <c r="AL67">
        <v>8.4</v>
      </c>
      <c r="AM67">
        <v>41.5</v>
      </c>
      <c r="AN67">
        <v>0</v>
      </c>
      <c r="AO67">
        <v>0</v>
      </c>
      <c r="AP67">
        <v>0</v>
      </c>
      <c r="AQ67">
        <v>110</v>
      </c>
      <c r="AR67">
        <v>86.9</v>
      </c>
      <c r="AS67">
        <v>71.7</v>
      </c>
      <c r="AT67">
        <v>47.02</v>
      </c>
      <c r="AU67">
        <v>0</v>
      </c>
      <c r="AV67">
        <v>0</v>
      </c>
      <c r="AW67">
        <v>38.25</v>
      </c>
      <c r="AX67">
        <v>76.150000000000006</v>
      </c>
      <c r="AY67">
        <v>60.74</v>
      </c>
      <c r="AZ67">
        <v>8.2100000000000009</v>
      </c>
      <c r="BA67">
        <v>86.9</v>
      </c>
      <c r="BB67">
        <v>0</v>
      </c>
      <c r="BC67">
        <v>11</v>
      </c>
      <c r="BD67">
        <v>58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850</v>
      </c>
      <c r="BN67">
        <v>1450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1450</v>
      </c>
      <c r="BV67">
        <v>214</v>
      </c>
      <c r="BW67" t="s">
        <v>188</v>
      </c>
      <c r="BX67">
        <v>0</v>
      </c>
      <c r="BY67" t="s">
        <v>1590</v>
      </c>
      <c r="CA67">
        <v>1450</v>
      </c>
      <c r="CB67">
        <v>86.9</v>
      </c>
      <c r="CC67">
        <v>41.5</v>
      </c>
      <c r="CD67" t="s">
        <v>188</v>
      </c>
      <c r="CE67" t="s">
        <v>1591</v>
      </c>
      <c r="CF67" t="s">
        <v>1592</v>
      </c>
      <c r="CG67" t="s">
        <v>1593</v>
      </c>
      <c r="CI67" t="s">
        <v>1594</v>
      </c>
      <c r="CK67">
        <v>5</v>
      </c>
      <c r="CL67" t="s">
        <v>1595</v>
      </c>
      <c r="CM67" t="s">
        <v>1596</v>
      </c>
      <c r="CN67" t="s">
        <v>1597</v>
      </c>
      <c r="CO67">
        <v>0</v>
      </c>
      <c r="CP67" t="s">
        <v>188</v>
      </c>
      <c r="CQ67" t="s">
        <v>188</v>
      </c>
      <c r="CR67">
        <v>38</v>
      </c>
      <c r="CS67">
        <v>0</v>
      </c>
      <c r="CT67" t="s">
        <v>1598</v>
      </c>
      <c r="CX67">
        <v>0</v>
      </c>
      <c r="CY67">
        <v>3450</v>
      </c>
      <c r="CZ67">
        <v>0</v>
      </c>
      <c r="DA67">
        <v>0</v>
      </c>
      <c r="DB67" t="s">
        <v>1599</v>
      </c>
      <c r="DC67">
        <v>0</v>
      </c>
      <c r="DD67">
        <v>0</v>
      </c>
      <c r="DI67" t="s">
        <v>1600</v>
      </c>
      <c r="DJ67" t="s">
        <v>1601</v>
      </c>
      <c r="DK67">
        <v>80</v>
      </c>
      <c r="DQ67" t="s">
        <v>738</v>
      </c>
      <c r="DR67">
        <v>60</v>
      </c>
      <c r="DS67" t="s">
        <v>754</v>
      </c>
      <c r="DT67">
        <v>110</v>
      </c>
      <c r="DU67">
        <v>0</v>
      </c>
      <c r="DV67">
        <v>0</v>
      </c>
      <c r="EW67" t="s">
        <v>188</v>
      </c>
      <c r="EX67" t="s">
        <v>188</v>
      </c>
      <c r="EY67" t="s">
        <v>188</v>
      </c>
      <c r="EZ67" t="s">
        <v>188</v>
      </c>
      <c r="FA67">
        <v>4</v>
      </c>
      <c r="FB67" t="s">
        <v>188</v>
      </c>
      <c r="FC67" t="s">
        <v>681</v>
      </c>
      <c r="FD67" t="s">
        <v>682</v>
      </c>
      <c r="FE67">
        <v>1111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 t="s">
        <v>188</v>
      </c>
      <c r="GF67" t="s">
        <v>188</v>
      </c>
      <c r="GG67" t="s">
        <v>188</v>
      </c>
      <c r="GH67" s="1">
        <v>44648</v>
      </c>
      <c r="GI67" t="s">
        <v>608</v>
      </c>
      <c r="GJ67" t="s">
        <v>609</v>
      </c>
      <c r="GK67" t="s">
        <v>610</v>
      </c>
      <c r="GL67">
        <v>0</v>
      </c>
      <c r="GM67">
        <v>0</v>
      </c>
      <c r="GN67">
        <v>76.2</v>
      </c>
      <c r="GO67">
        <v>50.8</v>
      </c>
      <c r="GP67">
        <v>0</v>
      </c>
      <c r="GQ67" t="s">
        <v>611</v>
      </c>
      <c r="GR67" s="1">
        <v>44874</v>
      </c>
      <c r="GV67" t="s">
        <v>188</v>
      </c>
      <c r="GW67" t="s">
        <v>188</v>
      </c>
      <c r="GX67" t="s">
        <v>188</v>
      </c>
      <c r="GY67" t="s">
        <v>188</v>
      </c>
      <c r="GZ67" t="s">
        <v>188</v>
      </c>
      <c r="HA67" t="s">
        <v>188</v>
      </c>
      <c r="HB67" t="s">
        <v>188</v>
      </c>
      <c r="HC67" t="s">
        <v>188</v>
      </c>
      <c r="HD67" t="s">
        <v>188</v>
      </c>
      <c r="HE67" t="s">
        <v>188</v>
      </c>
      <c r="HH67">
        <v>0</v>
      </c>
      <c r="HI67">
        <v>0</v>
      </c>
      <c r="HJ67">
        <v>86.64</v>
      </c>
      <c r="HK67">
        <v>64.099999999999994</v>
      </c>
      <c r="HL67">
        <v>62.9</v>
      </c>
      <c r="HN67" t="s">
        <v>188</v>
      </c>
      <c r="IS67">
        <v>0</v>
      </c>
      <c r="IT67">
        <v>0</v>
      </c>
      <c r="IU67">
        <v>0</v>
      </c>
      <c r="IV67">
        <v>0</v>
      </c>
      <c r="IW67">
        <v>0</v>
      </c>
      <c r="IX67" t="s">
        <v>1602</v>
      </c>
      <c r="IY67">
        <v>0</v>
      </c>
      <c r="IZ67">
        <v>0</v>
      </c>
      <c r="JA67">
        <v>0</v>
      </c>
      <c r="JB67">
        <v>0</v>
      </c>
      <c r="JC67" t="s">
        <v>613</v>
      </c>
      <c r="JD67" t="s">
        <v>1603</v>
      </c>
      <c r="JE67" t="s">
        <v>1604</v>
      </c>
      <c r="JF67">
        <v>2</v>
      </c>
      <c r="JG67" t="s">
        <v>1605</v>
      </c>
      <c r="JH67" t="s">
        <v>188</v>
      </c>
      <c r="JI67">
        <v>0</v>
      </c>
      <c r="JJ67" t="s">
        <v>188</v>
      </c>
      <c r="JK67">
        <v>62.07</v>
      </c>
      <c r="JL67">
        <v>0</v>
      </c>
      <c r="JM67">
        <v>1</v>
      </c>
    </row>
    <row r="68" spans="1:273" x14ac:dyDescent="0.3">
      <c r="A68" t="s">
        <v>752</v>
      </c>
      <c r="B68" t="s">
        <v>302</v>
      </c>
      <c r="C68" t="s">
        <v>340</v>
      </c>
      <c r="D68" t="s">
        <v>590</v>
      </c>
      <c r="E68" t="s">
        <v>1114</v>
      </c>
      <c r="F68" t="s">
        <v>592</v>
      </c>
      <c r="G68">
        <v>4</v>
      </c>
      <c r="H68" t="s">
        <v>1218</v>
      </c>
      <c r="I68" t="s">
        <v>594</v>
      </c>
      <c r="J68" t="s">
        <v>661</v>
      </c>
      <c r="N68">
        <v>3</v>
      </c>
      <c r="O68">
        <v>3</v>
      </c>
      <c r="P68">
        <v>1</v>
      </c>
      <c r="Q68">
        <v>11</v>
      </c>
      <c r="R68">
        <v>2</v>
      </c>
      <c r="S68">
        <v>0</v>
      </c>
      <c r="T68">
        <v>0</v>
      </c>
      <c r="U68">
        <v>0</v>
      </c>
      <c r="V68" t="s">
        <v>188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 t="s">
        <v>869</v>
      </c>
      <c r="AI68">
        <v>0.2777</v>
      </c>
      <c r="AJ68" t="s">
        <v>199</v>
      </c>
      <c r="AK68">
        <v>1</v>
      </c>
      <c r="AL68">
        <v>14</v>
      </c>
      <c r="AM68">
        <v>174.3</v>
      </c>
      <c r="AN68">
        <v>0</v>
      </c>
      <c r="AO68">
        <v>0</v>
      </c>
      <c r="AP68">
        <v>0</v>
      </c>
      <c r="AQ68">
        <v>0</v>
      </c>
      <c r="AR68">
        <v>70.2</v>
      </c>
      <c r="AS68">
        <v>5</v>
      </c>
      <c r="AT68">
        <v>68.13</v>
      </c>
      <c r="AU68">
        <v>0</v>
      </c>
      <c r="AV68">
        <v>0</v>
      </c>
      <c r="AW68">
        <v>128.05000000000001</v>
      </c>
      <c r="AX68">
        <v>61.82</v>
      </c>
      <c r="AY68">
        <v>31.63</v>
      </c>
      <c r="AZ68">
        <v>6.45</v>
      </c>
      <c r="BA68">
        <v>70.2</v>
      </c>
      <c r="BB68">
        <v>0</v>
      </c>
      <c r="BC68">
        <v>14</v>
      </c>
      <c r="BD68">
        <v>75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500</v>
      </c>
      <c r="BN68">
        <v>1600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1600</v>
      </c>
      <c r="BV68">
        <v>388</v>
      </c>
      <c r="BW68" t="s">
        <v>188</v>
      </c>
      <c r="BX68">
        <v>0</v>
      </c>
      <c r="BY68" t="s">
        <v>1219</v>
      </c>
      <c r="CA68" t="s">
        <v>1220</v>
      </c>
      <c r="CB68" t="s">
        <v>1221</v>
      </c>
      <c r="CC68" t="s">
        <v>1222</v>
      </c>
      <c r="CD68" t="s">
        <v>188</v>
      </c>
      <c r="CE68" t="s">
        <v>1223</v>
      </c>
      <c r="CF68" t="s">
        <v>1224</v>
      </c>
      <c r="CG68" t="s">
        <v>1225</v>
      </c>
      <c r="CI68" t="s">
        <v>1226</v>
      </c>
      <c r="CK68" t="s">
        <v>1227</v>
      </c>
      <c r="CL68" t="s">
        <v>1228</v>
      </c>
      <c r="CM68" t="s">
        <v>1229</v>
      </c>
      <c r="CN68" t="s">
        <v>1230</v>
      </c>
      <c r="CO68" t="s">
        <v>674</v>
      </c>
      <c r="CP68" t="s">
        <v>188</v>
      </c>
      <c r="CQ68" t="s">
        <v>188</v>
      </c>
      <c r="CR68">
        <v>0</v>
      </c>
      <c r="CS68">
        <v>0</v>
      </c>
      <c r="CX68">
        <v>0</v>
      </c>
      <c r="CY68">
        <v>0</v>
      </c>
      <c r="CZ68">
        <v>0</v>
      </c>
      <c r="DA68">
        <v>0</v>
      </c>
      <c r="DC68">
        <v>0</v>
      </c>
      <c r="DD68">
        <v>0</v>
      </c>
      <c r="EW68" t="s">
        <v>188</v>
      </c>
      <c r="EX68" t="s">
        <v>188</v>
      </c>
      <c r="EY68" t="s">
        <v>188</v>
      </c>
      <c r="EZ68" t="s">
        <v>188</v>
      </c>
      <c r="FA68">
        <v>4</v>
      </c>
      <c r="FB68" t="s">
        <v>188</v>
      </c>
      <c r="FC68" t="s">
        <v>681</v>
      </c>
      <c r="FD68" t="s">
        <v>682</v>
      </c>
      <c r="FE68">
        <v>1.1111111111111101E+31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 t="s">
        <v>188</v>
      </c>
      <c r="GF68" t="s">
        <v>188</v>
      </c>
      <c r="GG68" t="s">
        <v>188</v>
      </c>
      <c r="GH68" s="1">
        <v>45149</v>
      </c>
      <c r="GJ68" t="s">
        <v>610</v>
      </c>
      <c r="GK68" t="s">
        <v>610</v>
      </c>
      <c r="GL68">
        <v>0</v>
      </c>
      <c r="GM68">
        <v>0</v>
      </c>
      <c r="GN68">
        <v>101.6</v>
      </c>
      <c r="GO68">
        <v>101.6</v>
      </c>
      <c r="GP68">
        <v>0</v>
      </c>
      <c r="GR68" s="1">
        <v>45152</v>
      </c>
      <c r="GV68" t="s">
        <v>188</v>
      </c>
      <c r="GW68" t="s">
        <v>188</v>
      </c>
      <c r="GX68" t="s">
        <v>188</v>
      </c>
      <c r="GY68" t="s">
        <v>188</v>
      </c>
      <c r="GZ68" t="s">
        <v>188</v>
      </c>
      <c r="HA68" t="s">
        <v>188</v>
      </c>
      <c r="HB68" t="s">
        <v>188</v>
      </c>
      <c r="HC68" t="s">
        <v>188</v>
      </c>
      <c r="HD68" t="s">
        <v>188</v>
      </c>
      <c r="HE68" t="s">
        <v>188</v>
      </c>
      <c r="HH68">
        <v>0</v>
      </c>
      <c r="HI68">
        <v>0</v>
      </c>
      <c r="HJ68">
        <v>70.61</v>
      </c>
      <c r="HK68">
        <v>57.11</v>
      </c>
      <c r="HL68">
        <v>35.75</v>
      </c>
      <c r="HN68" t="s">
        <v>188</v>
      </c>
      <c r="IS68">
        <v>0</v>
      </c>
      <c r="IT68">
        <v>0</v>
      </c>
      <c r="IU68">
        <v>0</v>
      </c>
      <c r="IV68">
        <v>0</v>
      </c>
      <c r="IW68">
        <v>0</v>
      </c>
      <c r="IX68" t="s">
        <v>1233</v>
      </c>
      <c r="IY68">
        <v>0</v>
      </c>
      <c r="IZ68">
        <v>0</v>
      </c>
      <c r="JA68">
        <v>0</v>
      </c>
      <c r="JB68">
        <v>0</v>
      </c>
      <c r="JC68" t="s">
        <v>613</v>
      </c>
      <c r="JD68" t="s">
        <v>1234</v>
      </c>
      <c r="JE68" t="s">
        <v>1235</v>
      </c>
      <c r="JF68">
        <v>0</v>
      </c>
      <c r="JG68" t="s">
        <v>1606</v>
      </c>
      <c r="JH68" t="s">
        <v>188</v>
      </c>
      <c r="JI68">
        <v>0</v>
      </c>
      <c r="JJ68" t="s">
        <v>188</v>
      </c>
      <c r="JK68">
        <v>39.770000000000003</v>
      </c>
      <c r="JL68">
        <v>8</v>
      </c>
      <c r="JM68">
        <v>3</v>
      </c>
    </row>
    <row r="69" spans="1:273" x14ac:dyDescent="0.3">
      <c r="A69" t="s">
        <v>1607</v>
      </c>
      <c r="B69" t="s">
        <v>302</v>
      </c>
      <c r="C69" t="s">
        <v>340</v>
      </c>
      <c r="D69" t="s">
        <v>657</v>
      </c>
      <c r="E69" t="s">
        <v>1114</v>
      </c>
      <c r="F69" t="s">
        <v>592</v>
      </c>
      <c r="G69">
        <v>5</v>
      </c>
      <c r="H69" t="s">
        <v>1608</v>
      </c>
      <c r="I69" t="s">
        <v>594</v>
      </c>
      <c r="J69" t="s">
        <v>993</v>
      </c>
      <c r="L69" t="s">
        <v>658</v>
      </c>
      <c r="M69" t="s">
        <v>1609</v>
      </c>
      <c r="N69">
        <v>1</v>
      </c>
      <c r="O69">
        <v>1</v>
      </c>
      <c r="P69">
        <v>1</v>
      </c>
      <c r="Q69">
        <v>8</v>
      </c>
      <c r="R69">
        <v>2</v>
      </c>
      <c r="S69">
        <v>0</v>
      </c>
      <c r="T69">
        <v>0</v>
      </c>
      <c r="U69">
        <v>0</v>
      </c>
      <c r="V69" t="s">
        <v>188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 t="s">
        <v>596</v>
      </c>
      <c r="AI69">
        <v>1</v>
      </c>
      <c r="AJ69" t="s">
        <v>199</v>
      </c>
      <c r="AK69">
        <v>1</v>
      </c>
      <c r="AL69">
        <v>10.5</v>
      </c>
      <c r="AM69">
        <v>84.3</v>
      </c>
      <c r="AN69">
        <v>0</v>
      </c>
      <c r="AO69">
        <v>0</v>
      </c>
      <c r="AP69">
        <v>0</v>
      </c>
      <c r="AQ69">
        <v>55</v>
      </c>
      <c r="AR69">
        <v>82</v>
      </c>
      <c r="AS69">
        <v>55</v>
      </c>
      <c r="AT69">
        <v>67.94</v>
      </c>
      <c r="AU69">
        <v>0</v>
      </c>
      <c r="AV69">
        <v>0</v>
      </c>
      <c r="AW69">
        <v>69.290000000000006</v>
      </c>
      <c r="AX69">
        <v>63.88</v>
      </c>
      <c r="AY69">
        <v>63.87</v>
      </c>
      <c r="AZ69">
        <v>11.14</v>
      </c>
      <c r="BA69">
        <v>82</v>
      </c>
      <c r="BB69">
        <v>0</v>
      </c>
      <c r="BC69">
        <v>33</v>
      </c>
      <c r="BD69">
        <v>121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1000</v>
      </c>
      <c r="BN69">
        <v>2800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2800</v>
      </c>
      <c r="BV69">
        <v>245</v>
      </c>
      <c r="BW69" t="s">
        <v>188</v>
      </c>
      <c r="BX69">
        <v>0</v>
      </c>
      <c r="BY69" t="s">
        <v>1609</v>
      </c>
      <c r="CA69">
        <v>2800</v>
      </c>
      <c r="CB69">
        <v>82</v>
      </c>
      <c r="CC69">
        <v>84.3</v>
      </c>
      <c r="CD69" t="s">
        <v>188</v>
      </c>
      <c r="CE69" t="s">
        <v>1610</v>
      </c>
      <c r="CF69" t="s">
        <v>1611</v>
      </c>
      <c r="CG69" t="s">
        <v>1612</v>
      </c>
      <c r="CI69" t="s">
        <v>1613</v>
      </c>
      <c r="CK69">
        <v>5</v>
      </c>
      <c r="CL69" t="s">
        <v>1614</v>
      </c>
      <c r="CM69" t="s">
        <v>1615</v>
      </c>
      <c r="CN69" t="s">
        <v>1616</v>
      </c>
      <c r="CO69">
        <v>0</v>
      </c>
      <c r="CP69" t="s">
        <v>188</v>
      </c>
      <c r="CQ69" t="s">
        <v>188</v>
      </c>
      <c r="CR69">
        <v>36</v>
      </c>
      <c r="CS69">
        <v>0</v>
      </c>
      <c r="CT69" t="s">
        <v>1617</v>
      </c>
      <c r="CX69">
        <v>0</v>
      </c>
      <c r="CY69">
        <v>2100</v>
      </c>
      <c r="CZ69">
        <v>0</v>
      </c>
      <c r="DA69">
        <v>0</v>
      </c>
      <c r="DB69" t="s">
        <v>1618</v>
      </c>
      <c r="DC69">
        <v>0</v>
      </c>
      <c r="DD69">
        <v>0</v>
      </c>
      <c r="DI69" t="s">
        <v>1619</v>
      </c>
      <c r="DJ69" t="s">
        <v>1620</v>
      </c>
      <c r="DK69">
        <v>80</v>
      </c>
      <c r="DQ69" t="s">
        <v>738</v>
      </c>
      <c r="DR69">
        <v>60</v>
      </c>
      <c r="DS69" t="s">
        <v>754</v>
      </c>
      <c r="DT69">
        <v>110</v>
      </c>
      <c r="EW69" t="s">
        <v>188</v>
      </c>
      <c r="EX69" t="s">
        <v>188</v>
      </c>
      <c r="EY69" t="s">
        <v>188</v>
      </c>
      <c r="EZ69" t="s">
        <v>188</v>
      </c>
      <c r="FA69">
        <v>4</v>
      </c>
      <c r="FB69" t="s">
        <v>188</v>
      </c>
      <c r="FC69" t="s">
        <v>681</v>
      </c>
      <c r="FD69" t="s">
        <v>682</v>
      </c>
      <c r="FE69">
        <v>1.11111111111111E+27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 t="s">
        <v>188</v>
      </c>
      <c r="GF69" t="s">
        <v>188</v>
      </c>
      <c r="GG69" t="s">
        <v>188</v>
      </c>
      <c r="GH69" s="1">
        <v>44648</v>
      </c>
      <c r="GI69" t="s">
        <v>608</v>
      </c>
      <c r="GJ69" t="s">
        <v>609</v>
      </c>
      <c r="GK69" t="s">
        <v>610</v>
      </c>
      <c r="GL69">
        <v>0</v>
      </c>
      <c r="GM69">
        <v>0</v>
      </c>
      <c r="GN69">
        <v>101.6</v>
      </c>
      <c r="GO69">
        <v>76.2</v>
      </c>
      <c r="GP69">
        <v>0</v>
      </c>
      <c r="GQ69" t="s">
        <v>611</v>
      </c>
      <c r="GR69" s="1">
        <v>45176</v>
      </c>
      <c r="GV69" t="s">
        <v>188</v>
      </c>
      <c r="GW69" t="s">
        <v>188</v>
      </c>
      <c r="GX69" t="s">
        <v>188</v>
      </c>
      <c r="GY69" t="s">
        <v>188</v>
      </c>
      <c r="GZ69" t="s">
        <v>188</v>
      </c>
      <c r="HA69" t="s">
        <v>188</v>
      </c>
      <c r="HB69" t="s">
        <v>188</v>
      </c>
      <c r="HC69" t="s">
        <v>188</v>
      </c>
      <c r="HD69" t="s">
        <v>188</v>
      </c>
      <c r="HE69" t="s">
        <v>188</v>
      </c>
      <c r="HH69">
        <v>0</v>
      </c>
      <c r="HI69">
        <v>0</v>
      </c>
      <c r="HJ69">
        <v>81.569999999999993</v>
      </c>
      <c r="HK69">
        <v>55.75</v>
      </c>
      <c r="HL69">
        <v>69.36</v>
      </c>
      <c r="HN69" t="s">
        <v>188</v>
      </c>
      <c r="IS69">
        <v>0</v>
      </c>
      <c r="IT69">
        <v>0</v>
      </c>
      <c r="IU69">
        <v>0</v>
      </c>
      <c r="IV69">
        <v>0</v>
      </c>
      <c r="IW69">
        <v>0</v>
      </c>
      <c r="IX69" t="s">
        <v>1621</v>
      </c>
      <c r="IY69">
        <v>0</v>
      </c>
      <c r="IZ69">
        <v>0</v>
      </c>
      <c r="JA69">
        <v>0</v>
      </c>
      <c r="JB69">
        <v>0</v>
      </c>
      <c r="JC69" t="s">
        <v>613</v>
      </c>
      <c r="JD69" t="s">
        <v>1622</v>
      </c>
      <c r="JE69" t="s">
        <v>791</v>
      </c>
      <c r="JF69">
        <v>0</v>
      </c>
      <c r="JH69" t="s">
        <v>188</v>
      </c>
      <c r="JI69">
        <v>0</v>
      </c>
      <c r="JJ69" t="s">
        <v>188</v>
      </c>
      <c r="JK69">
        <v>69.930000000000007</v>
      </c>
      <c r="JL69">
        <v>0</v>
      </c>
      <c r="JM69">
        <v>1</v>
      </c>
    </row>
    <row r="70" spans="1:273" x14ac:dyDescent="0.3">
      <c r="A70" t="s">
        <v>1623</v>
      </c>
      <c r="B70" t="s">
        <v>302</v>
      </c>
      <c r="C70" t="s">
        <v>340</v>
      </c>
      <c r="D70" t="s">
        <v>657</v>
      </c>
      <c r="E70" t="s">
        <v>1114</v>
      </c>
      <c r="F70" t="s">
        <v>592</v>
      </c>
      <c r="G70">
        <v>6</v>
      </c>
      <c r="H70" t="s">
        <v>1624</v>
      </c>
      <c r="I70" t="s">
        <v>594</v>
      </c>
      <c r="J70" t="s">
        <v>993</v>
      </c>
      <c r="L70" t="s">
        <v>658</v>
      </c>
      <c r="M70" t="s">
        <v>1609</v>
      </c>
      <c r="N70">
        <v>1</v>
      </c>
      <c r="O70">
        <v>1</v>
      </c>
      <c r="P70">
        <v>1</v>
      </c>
      <c r="Q70">
        <v>9</v>
      </c>
      <c r="R70">
        <v>1</v>
      </c>
      <c r="S70">
        <v>0</v>
      </c>
      <c r="T70">
        <v>0</v>
      </c>
      <c r="U70">
        <v>0</v>
      </c>
      <c r="V70" t="s">
        <v>188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0</v>
      </c>
      <c r="AH70" t="s">
        <v>596</v>
      </c>
      <c r="AI70">
        <v>1</v>
      </c>
      <c r="AJ70" t="s">
        <v>199</v>
      </c>
      <c r="AK70">
        <v>1</v>
      </c>
      <c r="AL70">
        <v>11</v>
      </c>
      <c r="AM70">
        <v>87.4</v>
      </c>
      <c r="AN70">
        <v>0</v>
      </c>
      <c r="AO70">
        <v>0</v>
      </c>
      <c r="AP70">
        <v>0</v>
      </c>
      <c r="AQ70">
        <v>55</v>
      </c>
      <c r="AR70">
        <v>94.8</v>
      </c>
      <c r="AS70">
        <v>69.7</v>
      </c>
      <c r="AT70">
        <v>74.39</v>
      </c>
      <c r="AU70">
        <v>0</v>
      </c>
      <c r="AV70">
        <v>0</v>
      </c>
      <c r="AW70">
        <v>74.53</v>
      </c>
      <c r="AX70">
        <v>76.17</v>
      </c>
      <c r="AY70">
        <v>74.81</v>
      </c>
      <c r="AZ70">
        <v>14.07</v>
      </c>
      <c r="BA70">
        <v>94.8</v>
      </c>
      <c r="BB70">
        <v>0</v>
      </c>
      <c r="BC70">
        <v>29</v>
      </c>
      <c r="BD70">
        <v>103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1000</v>
      </c>
      <c r="BN70">
        <v>2750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2750</v>
      </c>
      <c r="BV70">
        <v>260</v>
      </c>
      <c r="BW70" t="s">
        <v>188</v>
      </c>
      <c r="BX70">
        <v>0</v>
      </c>
      <c r="BY70" t="s">
        <v>1623</v>
      </c>
      <c r="CA70">
        <v>2750</v>
      </c>
      <c r="CB70">
        <v>94.8</v>
      </c>
      <c r="CC70">
        <v>87.4</v>
      </c>
      <c r="CD70" t="s">
        <v>188</v>
      </c>
      <c r="CE70" t="s">
        <v>1625</v>
      </c>
      <c r="CF70" t="s">
        <v>1626</v>
      </c>
      <c r="CG70" t="s">
        <v>1627</v>
      </c>
      <c r="CI70" t="s">
        <v>1628</v>
      </c>
      <c r="CK70">
        <v>5</v>
      </c>
      <c r="CL70" t="s">
        <v>1629</v>
      </c>
      <c r="CM70" t="s">
        <v>1630</v>
      </c>
      <c r="CN70" t="s">
        <v>1631</v>
      </c>
      <c r="CO70">
        <v>0</v>
      </c>
      <c r="CP70" t="s">
        <v>188</v>
      </c>
      <c r="CQ70" t="s">
        <v>188</v>
      </c>
      <c r="CR70">
        <v>28</v>
      </c>
      <c r="CS70">
        <v>0</v>
      </c>
      <c r="CX70">
        <v>0</v>
      </c>
      <c r="CY70">
        <v>2100</v>
      </c>
      <c r="CZ70">
        <v>0</v>
      </c>
      <c r="DA70">
        <v>0</v>
      </c>
      <c r="DB70" t="s">
        <v>1632</v>
      </c>
      <c r="DC70">
        <v>0</v>
      </c>
      <c r="DD70">
        <v>0</v>
      </c>
      <c r="DI70" t="s">
        <v>1619</v>
      </c>
      <c r="DJ70" t="s">
        <v>1620</v>
      </c>
      <c r="DK70">
        <v>80</v>
      </c>
      <c r="DQ70" t="s">
        <v>719</v>
      </c>
      <c r="DR70">
        <v>30</v>
      </c>
      <c r="DS70" t="s">
        <v>720</v>
      </c>
      <c r="DT70">
        <v>55</v>
      </c>
      <c r="DU70" t="s">
        <v>738</v>
      </c>
      <c r="DV70">
        <v>60</v>
      </c>
      <c r="DW70" t="s">
        <v>754</v>
      </c>
      <c r="DX70">
        <v>110</v>
      </c>
      <c r="EW70" t="s">
        <v>188</v>
      </c>
      <c r="EX70" t="s">
        <v>188</v>
      </c>
      <c r="EY70" t="s">
        <v>188</v>
      </c>
      <c r="EZ70" t="s">
        <v>188</v>
      </c>
      <c r="FA70">
        <v>4</v>
      </c>
      <c r="FB70" t="s">
        <v>188</v>
      </c>
      <c r="FC70" t="s">
        <v>681</v>
      </c>
      <c r="FD70" t="s">
        <v>682</v>
      </c>
      <c r="FE70">
        <v>1.1111111111111101E+31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 t="s">
        <v>188</v>
      </c>
      <c r="GF70" t="s">
        <v>188</v>
      </c>
      <c r="GG70" t="s">
        <v>188</v>
      </c>
      <c r="GH70" s="1">
        <v>45774</v>
      </c>
      <c r="GI70" t="s">
        <v>608</v>
      </c>
      <c r="GJ70" t="s">
        <v>812</v>
      </c>
      <c r="GK70" t="s">
        <v>812</v>
      </c>
      <c r="GL70">
        <v>0</v>
      </c>
      <c r="GM70">
        <v>0</v>
      </c>
      <c r="GN70">
        <v>101.6</v>
      </c>
      <c r="GO70">
        <v>76.2</v>
      </c>
      <c r="GP70">
        <v>0</v>
      </c>
      <c r="GR70" s="1">
        <v>45783</v>
      </c>
      <c r="GV70" t="s">
        <v>188</v>
      </c>
      <c r="GW70" t="s">
        <v>188</v>
      </c>
      <c r="GX70" t="s">
        <v>188</v>
      </c>
      <c r="GY70" t="s">
        <v>188</v>
      </c>
      <c r="GZ70" t="s">
        <v>188</v>
      </c>
      <c r="HA70" t="s">
        <v>188</v>
      </c>
      <c r="HB70" t="s">
        <v>188</v>
      </c>
      <c r="HC70" t="s">
        <v>188</v>
      </c>
      <c r="HD70" t="s">
        <v>188</v>
      </c>
      <c r="HE70" t="s">
        <v>188</v>
      </c>
      <c r="HH70">
        <v>0</v>
      </c>
      <c r="HI70">
        <v>0</v>
      </c>
      <c r="HJ70">
        <v>95.21</v>
      </c>
      <c r="HK70">
        <v>68.67</v>
      </c>
      <c r="HL70">
        <v>84.96</v>
      </c>
      <c r="HN70" t="s">
        <v>188</v>
      </c>
      <c r="IS70">
        <v>0</v>
      </c>
      <c r="IT70">
        <v>0</v>
      </c>
      <c r="IU70">
        <v>0</v>
      </c>
      <c r="IV70">
        <v>0</v>
      </c>
      <c r="IW70">
        <v>0</v>
      </c>
      <c r="IX70" t="s">
        <v>1633</v>
      </c>
      <c r="IY70">
        <v>0</v>
      </c>
      <c r="IZ70">
        <v>0</v>
      </c>
      <c r="JA70">
        <v>0</v>
      </c>
      <c r="JB70">
        <v>0</v>
      </c>
      <c r="JC70" t="s">
        <v>613</v>
      </c>
      <c r="JD70" t="s">
        <v>1634</v>
      </c>
      <c r="JE70" t="s">
        <v>1635</v>
      </c>
      <c r="JF70">
        <v>2</v>
      </c>
      <c r="JG70" t="s">
        <v>1636</v>
      </c>
      <c r="JH70" t="s">
        <v>188</v>
      </c>
      <c r="JI70">
        <v>0</v>
      </c>
      <c r="JJ70">
        <v>0</v>
      </c>
      <c r="JK70">
        <v>83.08</v>
      </c>
      <c r="JL70">
        <v>0</v>
      </c>
      <c r="JM70">
        <v>1</v>
      </c>
    </row>
    <row r="71" spans="1:273" x14ac:dyDescent="0.3">
      <c r="A71" t="s">
        <v>1637</v>
      </c>
      <c r="B71" t="s">
        <v>302</v>
      </c>
      <c r="C71" t="s">
        <v>340</v>
      </c>
      <c r="D71" t="s">
        <v>657</v>
      </c>
      <c r="E71" t="s">
        <v>1114</v>
      </c>
      <c r="F71" t="s">
        <v>659</v>
      </c>
      <c r="G71">
        <v>5</v>
      </c>
      <c r="H71" t="s">
        <v>1638</v>
      </c>
      <c r="I71" t="s">
        <v>594</v>
      </c>
      <c r="J71" t="s">
        <v>993</v>
      </c>
      <c r="L71" t="s">
        <v>658</v>
      </c>
      <c r="M71" t="s">
        <v>1639</v>
      </c>
      <c r="N71">
        <v>4</v>
      </c>
      <c r="O71">
        <v>4</v>
      </c>
      <c r="P71">
        <v>1</v>
      </c>
      <c r="Q71">
        <v>9</v>
      </c>
      <c r="R71">
        <v>2</v>
      </c>
      <c r="S71">
        <v>0</v>
      </c>
      <c r="T71">
        <v>0</v>
      </c>
      <c r="U71">
        <v>0</v>
      </c>
      <c r="V71" t="s">
        <v>188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 t="s">
        <v>596</v>
      </c>
      <c r="AI71">
        <v>1</v>
      </c>
      <c r="AJ71" t="s">
        <v>199</v>
      </c>
      <c r="AK71">
        <v>1</v>
      </c>
      <c r="AL71">
        <v>6.5</v>
      </c>
      <c r="AM71">
        <v>57</v>
      </c>
      <c r="AN71">
        <v>0</v>
      </c>
      <c r="AO71">
        <v>0</v>
      </c>
      <c r="AP71">
        <v>0</v>
      </c>
      <c r="AQ71">
        <v>110</v>
      </c>
      <c r="AR71">
        <v>36</v>
      </c>
      <c r="AS71">
        <v>4.5</v>
      </c>
      <c r="AT71">
        <v>68.06</v>
      </c>
      <c r="AU71">
        <v>0</v>
      </c>
      <c r="AV71">
        <v>0</v>
      </c>
      <c r="AW71">
        <v>38.24</v>
      </c>
      <c r="AX71">
        <v>29.18</v>
      </c>
      <c r="AY71">
        <v>16.07</v>
      </c>
      <c r="AZ71">
        <v>6.72</v>
      </c>
      <c r="BA71">
        <v>34.799999999999997</v>
      </c>
      <c r="BB71">
        <v>0</v>
      </c>
      <c r="BC71">
        <v>28</v>
      </c>
      <c r="BD71">
        <v>84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800</v>
      </c>
      <c r="BN71">
        <v>1800</v>
      </c>
      <c r="BO71">
        <v>0</v>
      </c>
      <c r="BP71">
        <v>0</v>
      </c>
      <c r="BQ71">
        <v>0</v>
      </c>
      <c r="BR71">
        <v>68</v>
      </c>
      <c r="BS71">
        <v>0</v>
      </c>
      <c r="BT71">
        <v>0</v>
      </c>
      <c r="BU71">
        <v>1800</v>
      </c>
      <c r="BV71">
        <v>245</v>
      </c>
      <c r="BW71" t="s">
        <v>188</v>
      </c>
      <c r="BX71">
        <v>0</v>
      </c>
      <c r="BY71" t="s">
        <v>1640</v>
      </c>
      <c r="BZ71" t="s">
        <v>930</v>
      </c>
      <c r="CA71" t="s">
        <v>1641</v>
      </c>
      <c r="CB71" t="s">
        <v>1642</v>
      </c>
      <c r="CC71" t="s">
        <v>1643</v>
      </c>
      <c r="CD71" t="s">
        <v>188</v>
      </c>
      <c r="CE71" t="s">
        <v>1644</v>
      </c>
      <c r="CF71" t="s">
        <v>1645</v>
      </c>
      <c r="CG71" t="s">
        <v>1646</v>
      </c>
      <c r="CI71" t="s">
        <v>1647</v>
      </c>
      <c r="CK71" t="s">
        <v>1648</v>
      </c>
      <c r="CL71" t="s">
        <v>1649</v>
      </c>
      <c r="CM71" t="s">
        <v>1650</v>
      </c>
      <c r="CN71" t="s">
        <v>1651</v>
      </c>
      <c r="CO71" t="s">
        <v>930</v>
      </c>
      <c r="CP71" t="s">
        <v>188</v>
      </c>
      <c r="CQ71" t="s">
        <v>188</v>
      </c>
      <c r="CR71">
        <v>4</v>
      </c>
      <c r="CS71">
        <v>0</v>
      </c>
      <c r="CT71" t="s">
        <v>1652</v>
      </c>
      <c r="CU71" t="s">
        <v>738</v>
      </c>
      <c r="CV71" t="s">
        <v>1653</v>
      </c>
      <c r="CW71" t="s">
        <v>1654</v>
      </c>
      <c r="CX71">
        <v>1400</v>
      </c>
      <c r="CY71">
        <v>1750</v>
      </c>
      <c r="CZ71">
        <v>1.25</v>
      </c>
      <c r="DA71">
        <v>0</v>
      </c>
      <c r="DB71" t="s">
        <v>1655</v>
      </c>
      <c r="DC71">
        <v>0</v>
      </c>
      <c r="DD71">
        <v>0</v>
      </c>
      <c r="DI71" t="s">
        <v>1619</v>
      </c>
      <c r="DJ71" t="s">
        <v>1656</v>
      </c>
      <c r="DK71">
        <v>80</v>
      </c>
      <c r="DQ71" t="s">
        <v>738</v>
      </c>
      <c r="DR71">
        <v>60</v>
      </c>
      <c r="DS71" t="s">
        <v>754</v>
      </c>
      <c r="DT71">
        <v>110</v>
      </c>
      <c r="EW71" t="s">
        <v>188</v>
      </c>
      <c r="EX71" t="s">
        <v>188</v>
      </c>
      <c r="EY71" t="s">
        <v>188</v>
      </c>
      <c r="EZ71" t="s">
        <v>188</v>
      </c>
      <c r="FA71">
        <v>4</v>
      </c>
      <c r="FB71" t="s">
        <v>188</v>
      </c>
      <c r="FC71" t="s">
        <v>681</v>
      </c>
      <c r="FD71" t="s">
        <v>682</v>
      </c>
      <c r="FE71">
        <v>1.1111111111111099E+23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 t="s">
        <v>188</v>
      </c>
      <c r="GF71" t="s">
        <v>188</v>
      </c>
      <c r="GG71" t="s">
        <v>188</v>
      </c>
      <c r="GH71" t="s">
        <v>188</v>
      </c>
      <c r="GI71" t="s">
        <v>608</v>
      </c>
      <c r="GJ71" t="s">
        <v>609</v>
      </c>
      <c r="GK71" t="s">
        <v>610</v>
      </c>
      <c r="GL71">
        <v>0</v>
      </c>
      <c r="GM71">
        <v>0</v>
      </c>
      <c r="GN71">
        <v>101.6</v>
      </c>
      <c r="GO71">
        <v>76.2</v>
      </c>
      <c r="GP71">
        <v>0</v>
      </c>
      <c r="GR71" s="1">
        <v>44880</v>
      </c>
      <c r="GV71" t="s">
        <v>188</v>
      </c>
      <c r="GW71" t="s">
        <v>188</v>
      </c>
      <c r="GX71" t="s">
        <v>188</v>
      </c>
      <c r="GY71" t="s">
        <v>188</v>
      </c>
      <c r="GZ71" t="s">
        <v>188</v>
      </c>
      <c r="HA71" t="s">
        <v>188</v>
      </c>
      <c r="HB71" t="s">
        <v>188</v>
      </c>
      <c r="HC71" t="s">
        <v>188</v>
      </c>
      <c r="HD71" t="s">
        <v>188</v>
      </c>
      <c r="HE71" t="s">
        <v>188</v>
      </c>
      <c r="HH71">
        <v>0</v>
      </c>
      <c r="HI71">
        <v>0</v>
      </c>
      <c r="HJ71">
        <v>35.04</v>
      </c>
      <c r="HK71">
        <v>25.86</v>
      </c>
      <c r="HL71">
        <v>17.62</v>
      </c>
      <c r="HN71" t="s">
        <v>188</v>
      </c>
      <c r="IS71">
        <v>0</v>
      </c>
      <c r="IT71">
        <v>0</v>
      </c>
      <c r="IU71">
        <v>0</v>
      </c>
      <c r="IV71">
        <v>0</v>
      </c>
      <c r="IW71">
        <v>0</v>
      </c>
      <c r="IX71" t="s">
        <v>1088</v>
      </c>
      <c r="IY71">
        <v>0</v>
      </c>
      <c r="IZ71">
        <v>0</v>
      </c>
      <c r="JA71">
        <v>0</v>
      </c>
      <c r="JB71">
        <v>0</v>
      </c>
      <c r="JC71" t="s">
        <v>613</v>
      </c>
      <c r="JD71" t="s">
        <v>1657</v>
      </c>
      <c r="JE71" t="s">
        <v>1658</v>
      </c>
      <c r="JF71">
        <v>2</v>
      </c>
      <c r="JG71" t="s">
        <v>1659</v>
      </c>
      <c r="JH71" t="s">
        <v>188</v>
      </c>
      <c r="JI71">
        <v>0</v>
      </c>
      <c r="JJ71" t="s">
        <v>188</v>
      </c>
      <c r="JK71">
        <v>19.45</v>
      </c>
      <c r="JL71">
        <v>10.5</v>
      </c>
      <c r="JM71">
        <v>4</v>
      </c>
    </row>
    <row r="72" spans="1:273" x14ac:dyDescent="0.3">
      <c r="A72" t="s">
        <v>1660</v>
      </c>
      <c r="B72" t="s">
        <v>302</v>
      </c>
      <c r="C72" t="s">
        <v>340</v>
      </c>
      <c r="D72" t="s">
        <v>657</v>
      </c>
      <c r="E72" t="s">
        <v>1114</v>
      </c>
      <c r="F72" t="s">
        <v>592</v>
      </c>
      <c r="G72">
        <v>5</v>
      </c>
      <c r="H72" t="s">
        <v>1608</v>
      </c>
      <c r="I72" t="s">
        <v>594</v>
      </c>
      <c r="J72" t="s">
        <v>993</v>
      </c>
      <c r="L72" t="s">
        <v>658</v>
      </c>
      <c r="M72" t="s">
        <v>1609</v>
      </c>
      <c r="N72">
        <v>1</v>
      </c>
      <c r="O72">
        <v>1</v>
      </c>
      <c r="P72">
        <v>1</v>
      </c>
      <c r="Q72">
        <v>8</v>
      </c>
      <c r="R72">
        <v>2</v>
      </c>
      <c r="S72">
        <v>0</v>
      </c>
      <c r="T72">
        <v>0</v>
      </c>
      <c r="U72">
        <v>0</v>
      </c>
      <c r="V72" t="s">
        <v>188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 t="s">
        <v>596</v>
      </c>
      <c r="AI72">
        <v>1</v>
      </c>
      <c r="AJ72" t="s">
        <v>199</v>
      </c>
      <c r="AK72">
        <v>1</v>
      </c>
      <c r="AL72">
        <v>10.5</v>
      </c>
      <c r="AM72">
        <v>84.3</v>
      </c>
      <c r="AN72">
        <v>0</v>
      </c>
      <c r="AO72">
        <v>0</v>
      </c>
      <c r="AP72">
        <v>0</v>
      </c>
      <c r="AQ72">
        <v>55</v>
      </c>
      <c r="AR72">
        <v>82</v>
      </c>
      <c r="AS72">
        <v>55</v>
      </c>
      <c r="AT72">
        <v>67.94</v>
      </c>
      <c r="AU72">
        <v>0</v>
      </c>
      <c r="AV72">
        <v>0</v>
      </c>
      <c r="AW72">
        <v>69.290000000000006</v>
      </c>
      <c r="AX72">
        <v>63.88</v>
      </c>
      <c r="AY72">
        <v>63.87</v>
      </c>
      <c r="AZ72">
        <v>11.14</v>
      </c>
      <c r="BA72">
        <v>82</v>
      </c>
      <c r="BB72">
        <v>0</v>
      </c>
      <c r="BC72">
        <v>33</v>
      </c>
      <c r="BD72">
        <v>121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1000</v>
      </c>
      <c r="BN72">
        <v>2800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2800</v>
      </c>
      <c r="BV72">
        <v>245</v>
      </c>
      <c r="BW72" t="s">
        <v>188</v>
      </c>
      <c r="BX72">
        <v>0</v>
      </c>
      <c r="BY72" t="s">
        <v>1609</v>
      </c>
      <c r="CA72">
        <v>2800</v>
      </c>
      <c r="CB72">
        <v>82</v>
      </c>
      <c r="CC72">
        <v>84.3</v>
      </c>
      <c r="CD72" t="s">
        <v>188</v>
      </c>
      <c r="CE72" t="s">
        <v>1610</v>
      </c>
      <c r="CF72" t="s">
        <v>1611</v>
      </c>
      <c r="CG72" t="s">
        <v>1612</v>
      </c>
      <c r="CI72" t="s">
        <v>1613</v>
      </c>
      <c r="CK72">
        <v>5</v>
      </c>
      <c r="CL72" t="s">
        <v>1614</v>
      </c>
      <c r="CM72" t="s">
        <v>1615</v>
      </c>
      <c r="CN72" t="s">
        <v>1616</v>
      </c>
      <c r="CO72">
        <v>0</v>
      </c>
      <c r="CP72" t="s">
        <v>188</v>
      </c>
      <c r="CQ72" t="s">
        <v>188</v>
      </c>
      <c r="CR72">
        <v>36</v>
      </c>
      <c r="CS72">
        <v>0</v>
      </c>
      <c r="CT72" t="s">
        <v>1617</v>
      </c>
      <c r="CX72">
        <v>0</v>
      </c>
      <c r="CY72">
        <v>2100</v>
      </c>
      <c r="CZ72">
        <v>0</v>
      </c>
      <c r="DA72">
        <v>0</v>
      </c>
      <c r="DB72" t="s">
        <v>1618</v>
      </c>
      <c r="DC72">
        <v>0</v>
      </c>
      <c r="DD72">
        <v>0</v>
      </c>
      <c r="DI72" t="s">
        <v>1619</v>
      </c>
      <c r="DJ72" t="s">
        <v>1620</v>
      </c>
      <c r="DK72">
        <v>80</v>
      </c>
      <c r="DQ72" t="s">
        <v>1661</v>
      </c>
      <c r="DR72">
        <v>30</v>
      </c>
      <c r="DS72" t="s">
        <v>1662</v>
      </c>
      <c r="DT72">
        <v>55</v>
      </c>
      <c r="EW72" t="s">
        <v>188</v>
      </c>
      <c r="EX72" t="s">
        <v>188</v>
      </c>
      <c r="EY72" t="s">
        <v>188</v>
      </c>
      <c r="EZ72" t="s">
        <v>188</v>
      </c>
      <c r="FA72">
        <v>4</v>
      </c>
      <c r="FB72" t="s">
        <v>188</v>
      </c>
      <c r="FC72" t="s">
        <v>681</v>
      </c>
      <c r="FD72" t="s">
        <v>682</v>
      </c>
      <c r="FE72">
        <v>1.11111111111111E+27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 t="s">
        <v>188</v>
      </c>
      <c r="GF72" t="s">
        <v>188</v>
      </c>
      <c r="GG72" t="s">
        <v>188</v>
      </c>
      <c r="GH72" s="1">
        <v>44648</v>
      </c>
      <c r="GI72" t="s">
        <v>608</v>
      </c>
      <c r="GJ72" t="s">
        <v>609</v>
      </c>
      <c r="GK72" t="s">
        <v>610</v>
      </c>
      <c r="GL72">
        <v>0</v>
      </c>
      <c r="GM72">
        <v>0</v>
      </c>
      <c r="GN72">
        <v>101.6</v>
      </c>
      <c r="GO72">
        <v>76.2</v>
      </c>
      <c r="GP72">
        <v>0</v>
      </c>
      <c r="GQ72" t="s">
        <v>611</v>
      </c>
      <c r="GR72" s="1">
        <v>44873</v>
      </c>
      <c r="GV72" t="s">
        <v>188</v>
      </c>
      <c r="GW72" t="s">
        <v>188</v>
      </c>
      <c r="GX72" t="s">
        <v>188</v>
      </c>
      <c r="GY72" t="s">
        <v>188</v>
      </c>
      <c r="GZ72" t="s">
        <v>188</v>
      </c>
      <c r="HA72" t="s">
        <v>188</v>
      </c>
      <c r="HB72" t="s">
        <v>188</v>
      </c>
      <c r="HC72" t="s">
        <v>188</v>
      </c>
      <c r="HD72" t="s">
        <v>188</v>
      </c>
      <c r="HE72" t="s">
        <v>188</v>
      </c>
      <c r="HH72">
        <v>0</v>
      </c>
      <c r="HI72">
        <v>0</v>
      </c>
      <c r="HJ72">
        <v>81.569999999999993</v>
      </c>
      <c r="HK72">
        <v>55.75</v>
      </c>
      <c r="HL72">
        <v>69.36</v>
      </c>
      <c r="HN72" t="s">
        <v>188</v>
      </c>
      <c r="IS72">
        <v>0</v>
      </c>
      <c r="IT72">
        <v>0</v>
      </c>
      <c r="IU72">
        <v>0</v>
      </c>
      <c r="IV72">
        <v>0</v>
      </c>
      <c r="IW72">
        <v>0</v>
      </c>
      <c r="IX72" t="s">
        <v>1621</v>
      </c>
      <c r="IY72">
        <v>0</v>
      </c>
      <c r="IZ72">
        <v>0</v>
      </c>
      <c r="JA72">
        <v>0</v>
      </c>
      <c r="JB72">
        <v>0</v>
      </c>
      <c r="JC72" t="s">
        <v>613</v>
      </c>
      <c r="JD72" t="s">
        <v>1622</v>
      </c>
      <c r="JE72" t="s">
        <v>791</v>
      </c>
      <c r="JF72">
        <v>0</v>
      </c>
      <c r="JH72" t="s">
        <v>188</v>
      </c>
      <c r="JI72">
        <v>0</v>
      </c>
      <c r="JJ72" t="s">
        <v>188</v>
      </c>
      <c r="JK72">
        <v>69.930000000000007</v>
      </c>
      <c r="JL72">
        <v>0</v>
      </c>
      <c r="JM72">
        <v>1</v>
      </c>
    </row>
    <row r="73" spans="1:273" x14ac:dyDescent="0.3">
      <c r="A73" t="s">
        <v>1663</v>
      </c>
      <c r="B73" t="s">
        <v>302</v>
      </c>
      <c r="C73" t="s">
        <v>340</v>
      </c>
      <c r="D73" t="s">
        <v>657</v>
      </c>
      <c r="E73" t="s">
        <v>1114</v>
      </c>
      <c r="F73" t="s">
        <v>659</v>
      </c>
      <c r="G73">
        <v>5</v>
      </c>
      <c r="H73" t="s">
        <v>1638</v>
      </c>
      <c r="I73" t="s">
        <v>594</v>
      </c>
      <c r="J73" t="s">
        <v>993</v>
      </c>
      <c r="L73" t="s">
        <v>658</v>
      </c>
      <c r="M73" t="s">
        <v>1639</v>
      </c>
      <c r="N73">
        <v>4</v>
      </c>
      <c r="O73">
        <v>4</v>
      </c>
      <c r="P73">
        <v>1</v>
      </c>
      <c r="Q73">
        <v>9</v>
      </c>
      <c r="R73">
        <v>2</v>
      </c>
      <c r="S73">
        <v>0</v>
      </c>
      <c r="T73">
        <v>0</v>
      </c>
      <c r="U73">
        <v>0</v>
      </c>
      <c r="V73" t="s">
        <v>188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 t="s">
        <v>596</v>
      </c>
      <c r="AI73">
        <v>1</v>
      </c>
      <c r="AJ73" t="s">
        <v>199</v>
      </c>
      <c r="AK73">
        <v>1</v>
      </c>
      <c r="AL73">
        <v>6.5</v>
      </c>
      <c r="AM73">
        <v>57</v>
      </c>
      <c r="AN73">
        <v>0</v>
      </c>
      <c r="AO73">
        <v>0</v>
      </c>
      <c r="AP73">
        <v>0</v>
      </c>
      <c r="AQ73">
        <v>55</v>
      </c>
      <c r="AR73">
        <v>36</v>
      </c>
      <c r="AS73">
        <v>4.5</v>
      </c>
      <c r="AT73">
        <v>68.06</v>
      </c>
      <c r="AU73">
        <v>0</v>
      </c>
      <c r="AV73">
        <v>0</v>
      </c>
      <c r="AW73">
        <v>38.24</v>
      </c>
      <c r="AX73">
        <v>29.18</v>
      </c>
      <c r="AY73">
        <v>16.07</v>
      </c>
      <c r="AZ73">
        <v>6.72</v>
      </c>
      <c r="BA73">
        <v>34.799999999999997</v>
      </c>
      <c r="BB73">
        <v>0</v>
      </c>
      <c r="BC73">
        <v>28</v>
      </c>
      <c r="BD73">
        <v>84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800</v>
      </c>
      <c r="BN73">
        <v>1800</v>
      </c>
      <c r="BO73">
        <v>0</v>
      </c>
      <c r="BP73">
        <v>0</v>
      </c>
      <c r="BQ73">
        <v>0</v>
      </c>
      <c r="BR73">
        <v>68</v>
      </c>
      <c r="BS73">
        <v>0</v>
      </c>
      <c r="BT73">
        <v>0</v>
      </c>
      <c r="BU73">
        <v>1800</v>
      </c>
      <c r="BV73">
        <v>245</v>
      </c>
      <c r="BW73" t="s">
        <v>188</v>
      </c>
      <c r="BX73">
        <v>0</v>
      </c>
      <c r="BY73" t="s">
        <v>1664</v>
      </c>
      <c r="BZ73" t="s">
        <v>930</v>
      </c>
      <c r="CA73" t="s">
        <v>1641</v>
      </c>
      <c r="CB73" t="s">
        <v>1642</v>
      </c>
      <c r="CC73" t="s">
        <v>1643</v>
      </c>
      <c r="CD73" t="s">
        <v>188</v>
      </c>
      <c r="CE73" t="s">
        <v>1644</v>
      </c>
      <c r="CF73" t="s">
        <v>1645</v>
      </c>
      <c r="CG73" t="s">
        <v>1646</v>
      </c>
      <c r="CI73" t="s">
        <v>1647</v>
      </c>
      <c r="CK73" t="s">
        <v>1648</v>
      </c>
      <c r="CL73" t="s">
        <v>1649</v>
      </c>
      <c r="CM73" t="s">
        <v>1650</v>
      </c>
      <c r="CN73" t="s">
        <v>1651</v>
      </c>
      <c r="CO73" t="s">
        <v>930</v>
      </c>
      <c r="CP73" t="s">
        <v>188</v>
      </c>
      <c r="CQ73" t="s">
        <v>188</v>
      </c>
      <c r="CR73">
        <v>4</v>
      </c>
      <c r="CS73">
        <v>0</v>
      </c>
      <c r="CV73" t="s">
        <v>1653</v>
      </c>
      <c r="CW73" t="s">
        <v>1654</v>
      </c>
      <c r="CX73">
        <v>1400</v>
      </c>
      <c r="CY73">
        <v>1750</v>
      </c>
      <c r="CZ73">
        <v>1.25</v>
      </c>
      <c r="DA73">
        <v>0</v>
      </c>
      <c r="DB73" t="s">
        <v>1665</v>
      </c>
      <c r="DC73">
        <v>0</v>
      </c>
      <c r="DD73">
        <v>0</v>
      </c>
      <c r="DI73" t="s">
        <v>1619</v>
      </c>
      <c r="DJ73" t="s">
        <v>1666</v>
      </c>
      <c r="DK73">
        <v>80</v>
      </c>
      <c r="DQ73" t="s">
        <v>1661</v>
      </c>
      <c r="DR73">
        <v>30</v>
      </c>
      <c r="DS73" t="s">
        <v>1662</v>
      </c>
      <c r="DT73">
        <v>55</v>
      </c>
      <c r="EW73" t="s">
        <v>188</v>
      </c>
      <c r="EX73" t="s">
        <v>188</v>
      </c>
      <c r="EY73" t="s">
        <v>188</v>
      </c>
      <c r="EZ73" t="s">
        <v>188</v>
      </c>
      <c r="FA73">
        <v>4</v>
      </c>
      <c r="FB73" t="s">
        <v>188</v>
      </c>
      <c r="FC73" t="s">
        <v>681</v>
      </c>
      <c r="FD73" t="s">
        <v>682</v>
      </c>
      <c r="FE73">
        <v>1.1111111111111099E+23</v>
      </c>
      <c r="FF73">
        <v>0</v>
      </c>
      <c r="FG73">
        <v>60</v>
      </c>
      <c r="FH73">
        <v>6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10</v>
      </c>
      <c r="GB73">
        <v>5</v>
      </c>
      <c r="GC73">
        <v>0</v>
      </c>
      <c r="GD73">
        <v>0</v>
      </c>
      <c r="GE73" t="s">
        <v>188</v>
      </c>
      <c r="GF73" t="s">
        <v>188</v>
      </c>
      <c r="GG73" t="s">
        <v>188</v>
      </c>
      <c r="GH73" s="1">
        <v>44869</v>
      </c>
      <c r="GI73" t="s">
        <v>608</v>
      </c>
      <c r="GJ73" t="s">
        <v>609</v>
      </c>
      <c r="GK73" t="s">
        <v>610</v>
      </c>
      <c r="GL73">
        <v>0</v>
      </c>
      <c r="GM73">
        <v>0</v>
      </c>
      <c r="GN73">
        <v>101.6</v>
      </c>
      <c r="GO73">
        <v>76.2</v>
      </c>
      <c r="GP73">
        <v>0</v>
      </c>
      <c r="GR73" s="1">
        <v>45076</v>
      </c>
      <c r="GV73" t="s">
        <v>188</v>
      </c>
      <c r="GW73" t="s">
        <v>188</v>
      </c>
      <c r="GX73" t="s">
        <v>188</v>
      </c>
      <c r="GY73" t="s">
        <v>188</v>
      </c>
      <c r="GZ73" t="s">
        <v>188</v>
      </c>
      <c r="HA73" t="s">
        <v>188</v>
      </c>
      <c r="HB73" t="s">
        <v>188</v>
      </c>
      <c r="HC73" t="s">
        <v>188</v>
      </c>
      <c r="HD73" t="s">
        <v>188</v>
      </c>
      <c r="HE73" t="s">
        <v>188</v>
      </c>
      <c r="HH73">
        <v>0</v>
      </c>
      <c r="HI73">
        <v>0</v>
      </c>
      <c r="HJ73">
        <v>35.04</v>
      </c>
      <c r="HK73">
        <v>25.86</v>
      </c>
      <c r="HL73">
        <v>17.62</v>
      </c>
      <c r="HN73" t="s">
        <v>188</v>
      </c>
      <c r="IS73">
        <v>0</v>
      </c>
      <c r="IT73">
        <v>0</v>
      </c>
      <c r="IU73">
        <v>0</v>
      </c>
      <c r="IV73">
        <v>0</v>
      </c>
      <c r="IW73">
        <v>0</v>
      </c>
      <c r="IX73" t="s">
        <v>1088</v>
      </c>
      <c r="IY73">
        <v>0</v>
      </c>
      <c r="IZ73">
        <v>0</v>
      </c>
      <c r="JA73">
        <v>0</v>
      </c>
      <c r="JB73">
        <v>0</v>
      </c>
      <c r="JC73" t="s">
        <v>613</v>
      </c>
      <c r="JD73" t="s">
        <v>1657</v>
      </c>
      <c r="JE73" t="s">
        <v>1658</v>
      </c>
      <c r="JF73">
        <v>2</v>
      </c>
      <c r="JH73" t="s">
        <v>188</v>
      </c>
      <c r="JI73">
        <v>0</v>
      </c>
      <c r="JJ73" t="s">
        <v>188</v>
      </c>
      <c r="JK73">
        <v>19.45</v>
      </c>
      <c r="JL73">
        <v>10.5</v>
      </c>
      <c r="JM73">
        <v>4</v>
      </c>
    </row>
    <row r="74" spans="1:273" x14ac:dyDescent="0.3">
      <c r="A74" t="s">
        <v>1667</v>
      </c>
      <c r="B74" t="s">
        <v>302</v>
      </c>
      <c r="C74" t="s">
        <v>340</v>
      </c>
      <c r="D74" t="s">
        <v>657</v>
      </c>
      <c r="E74" t="s">
        <v>1114</v>
      </c>
      <c r="F74" t="s">
        <v>592</v>
      </c>
      <c r="G74">
        <v>5</v>
      </c>
      <c r="H74" t="s">
        <v>1608</v>
      </c>
      <c r="I74" t="s">
        <v>594</v>
      </c>
      <c r="J74" t="s">
        <v>993</v>
      </c>
      <c r="L74" t="s">
        <v>658</v>
      </c>
      <c r="M74" t="s">
        <v>1609</v>
      </c>
      <c r="N74">
        <v>1</v>
      </c>
      <c r="O74">
        <v>1</v>
      </c>
      <c r="P74">
        <v>1</v>
      </c>
      <c r="Q74">
        <v>8</v>
      </c>
      <c r="R74">
        <v>2</v>
      </c>
      <c r="S74">
        <v>0</v>
      </c>
      <c r="T74">
        <v>0</v>
      </c>
      <c r="U74">
        <v>0</v>
      </c>
      <c r="V74" t="s">
        <v>188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0</v>
      </c>
      <c r="AH74" t="s">
        <v>596</v>
      </c>
      <c r="AI74">
        <v>1</v>
      </c>
      <c r="AJ74" t="s">
        <v>199</v>
      </c>
      <c r="AK74">
        <v>1</v>
      </c>
      <c r="AL74">
        <v>10.5</v>
      </c>
      <c r="AM74">
        <v>84.3</v>
      </c>
      <c r="AN74">
        <v>0</v>
      </c>
      <c r="AO74">
        <v>0</v>
      </c>
      <c r="AP74">
        <v>0</v>
      </c>
      <c r="AQ74">
        <v>55</v>
      </c>
      <c r="AR74">
        <v>82</v>
      </c>
      <c r="AS74">
        <v>55</v>
      </c>
      <c r="AT74">
        <v>67.94</v>
      </c>
      <c r="AU74">
        <v>0</v>
      </c>
      <c r="AV74">
        <v>0</v>
      </c>
      <c r="AW74">
        <v>69.290000000000006</v>
      </c>
      <c r="AX74">
        <v>63.88</v>
      </c>
      <c r="AY74">
        <v>63.87</v>
      </c>
      <c r="AZ74">
        <v>11.14</v>
      </c>
      <c r="BA74">
        <v>82</v>
      </c>
      <c r="BB74">
        <v>0</v>
      </c>
      <c r="BC74">
        <v>33</v>
      </c>
      <c r="BD74">
        <v>121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1000</v>
      </c>
      <c r="BN74">
        <v>2800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2800</v>
      </c>
      <c r="BV74">
        <v>245</v>
      </c>
      <c r="BW74" t="s">
        <v>188</v>
      </c>
      <c r="BX74">
        <v>0</v>
      </c>
      <c r="BY74" t="s">
        <v>1609</v>
      </c>
      <c r="CA74">
        <v>2800</v>
      </c>
      <c r="CB74">
        <v>82</v>
      </c>
      <c r="CC74">
        <v>84.3</v>
      </c>
      <c r="CD74" t="s">
        <v>188</v>
      </c>
      <c r="CE74" t="s">
        <v>1610</v>
      </c>
      <c r="CF74" t="s">
        <v>1611</v>
      </c>
      <c r="CG74" t="s">
        <v>1612</v>
      </c>
      <c r="CI74" t="s">
        <v>1613</v>
      </c>
      <c r="CK74">
        <v>5</v>
      </c>
      <c r="CL74" t="s">
        <v>1614</v>
      </c>
      <c r="CM74" t="s">
        <v>1615</v>
      </c>
      <c r="CN74" t="s">
        <v>1616</v>
      </c>
      <c r="CO74">
        <v>0</v>
      </c>
      <c r="CP74" t="s">
        <v>188</v>
      </c>
      <c r="CQ74" t="s">
        <v>188</v>
      </c>
      <c r="CR74">
        <v>36</v>
      </c>
      <c r="CS74">
        <v>0</v>
      </c>
      <c r="CT74" t="s">
        <v>1617</v>
      </c>
      <c r="CX74">
        <v>0</v>
      </c>
      <c r="CY74">
        <v>2100</v>
      </c>
      <c r="CZ74">
        <v>0</v>
      </c>
      <c r="DA74">
        <v>0</v>
      </c>
      <c r="DB74" t="s">
        <v>1618</v>
      </c>
      <c r="DC74">
        <v>0</v>
      </c>
      <c r="DD74">
        <v>0</v>
      </c>
      <c r="DI74" t="s">
        <v>1619</v>
      </c>
      <c r="DJ74" t="s">
        <v>1620</v>
      </c>
      <c r="DK74">
        <v>80</v>
      </c>
      <c r="DQ74" t="s">
        <v>1661</v>
      </c>
      <c r="DR74">
        <v>30</v>
      </c>
      <c r="DS74" t="s">
        <v>1662</v>
      </c>
      <c r="DT74">
        <v>55</v>
      </c>
      <c r="EW74" t="s">
        <v>188</v>
      </c>
      <c r="EX74" t="s">
        <v>188</v>
      </c>
      <c r="EY74" t="s">
        <v>188</v>
      </c>
      <c r="EZ74" t="s">
        <v>188</v>
      </c>
      <c r="FA74">
        <v>4</v>
      </c>
      <c r="FB74" t="s">
        <v>188</v>
      </c>
      <c r="FC74" t="s">
        <v>681</v>
      </c>
      <c r="FD74" t="s">
        <v>682</v>
      </c>
      <c r="FE74">
        <v>1.11111111111111E+27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 t="s">
        <v>188</v>
      </c>
      <c r="GF74" t="s">
        <v>188</v>
      </c>
      <c r="GG74" t="s">
        <v>188</v>
      </c>
      <c r="GH74" s="1">
        <v>44648</v>
      </c>
      <c r="GI74" t="s">
        <v>608</v>
      </c>
      <c r="GJ74" t="s">
        <v>609</v>
      </c>
      <c r="GK74" t="s">
        <v>610</v>
      </c>
      <c r="GL74">
        <v>0</v>
      </c>
      <c r="GM74">
        <v>0</v>
      </c>
      <c r="GN74">
        <v>101.6</v>
      </c>
      <c r="GO74">
        <v>76.2</v>
      </c>
      <c r="GP74">
        <v>0</v>
      </c>
      <c r="GQ74" t="s">
        <v>611</v>
      </c>
      <c r="GR74" s="1">
        <v>44873</v>
      </c>
      <c r="GV74" t="s">
        <v>188</v>
      </c>
      <c r="GW74" t="s">
        <v>188</v>
      </c>
      <c r="GX74" t="s">
        <v>188</v>
      </c>
      <c r="GY74" t="s">
        <v>188</v>
      </c>
      <c r="GZ74" t="s">
        <v>188</v>
      </c>
      <c r="HA74" t="s">
        <v>188</v>
      </c>
      <c r="HB74" t="s">
        <v>188</v>
      </c>
      <c r="HC74" t="s">
        <v>188</v>
      </c>
      <c r="HD74" t="s">
        <v>188</v>
      </c>
      <c r="HE74" t="s">
        <v>188</v>
      </c>
      <c r="HH74">
        <v>0</v>
      </c>
      <c r="HI74">
        <v>0</v>
      </c>
      <c r="HJ74">
        <v>81.569999999999993</v>
      </c>
      <c r="HK74">
        <v>55.75</v>
      </c>
      <c r="HL74">
        <v>69.36</v>
      </c>
      <c r="HN74" t="s">
        <v>188</v>
      </c>
      <c r="IS74">
        <v>0</v>
      </c>
      <c r="IT74">
        <v>0</v>
      </c>
      <c r="IU74">
        <v>0</v>
      </c>
      <c r="IV74">
        <v>0</v>
      </c>
      <c r="IW74">
        <v>0</v>
      </c>
      <c r="IX74" t="s">
        <v>1621</v>
      </c>
      <c r="IY74">
        <v>0</v>
      </c>
      <c r="IZ74">
        <v>0</v>
      </c>
      <c r="JA74">
        <v>0</v>
      </c>
      <c r="JB74">
        <v>0</v>
      </c>
      <c r="JC74" t="s">
        <v>613</v>
      </c>
      <c r="JD74" t="s">
        <v>1622</v>
      </c>
      <c r="JE74" t="s">
        <v>791</v>
      </c>
      <c r="JF74">
        <v>0</v>
      </c>
      <c r="JH74" t="s">
        <v>188</v>
      </c>
      <c r="JI74">
        <v>0</v>
      </c>
      <c r="JJ74" t="s">
        <v>188</v>
      </c>
      <c r="JK74">
        <v>69.930000000000007</v>
      </c>
      <c r="JL74">
        <v>0</v>
      </c>
      <c r="JM74">
        <v>1</v>
      </c>
    </row>
    <row r="75" spans="1:273" x14ac:dyDescent="0.3">
      <c r="A75" t="s">
        <v>769</v>
      </c>
      <c r="B75" t="s">
        <v>302</v>
      </c>
      <c r="C75" t="s">
        <v>340</v>
      </c>
      <c r="D75" t="s">
        <v>590</v>
      </c>
      <c r="E75" t="s">
        <v>1114</v>
      </c>
      <c r="F75" t="s">
        <v>592</v>
      </c>
      <c r="G75">
        <v>4</v>
      </c>
      <c r="H75" t="s">
        <v>769</v>
      </c>
      <c r="I75" t="s">
        <v>594</v>
      </c>
      <c r="J75" t="s">
        <v>661</v>
      </c>
      <c r="N75">
        <v>3</v>
      </c>
      <c r="O75">
        <v>3</v>
      </c>
      <c r="P75">
        <v>1</v>
      </c>
      <c r="Q75">
        <v>11</v>
      </c>
      <c r="R75">
        <v>2</v>
      </c>
      <c r="S75">
        <v>0</v>
      </c>
      <c r="T75">
        <v>0</v>
      </c>
      <c r="U75">
        <v>0</v>
      </c>
      <c r="V75" t="s">
        <v>188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0</v>
      </c>
      <c r="AH75" t="s">
        <v>869</v>
      </c>
      <c r="AI75">
        <v>0.2777</v>
      </c>
      <c r="AJ75" t="s">
        <v>199</v>
      </c>
      <c r="AK75">
        <v>1</v>
      </c>
      <c r="AL75">
        <v>37.700000000000003</v>
      </c>
      <c r="AM75">
        <v>306.10000000000002</v>
      </c>
      <c r="AN75">
        <v>0</v>
      </c>
      <c r="AO75">
        <v>0</v>
      </c>
      <c r="AP75">
        <v>0</v>
      </c>
      <c r="AQ75">
        <v>0</v>
      </c>
      <c r="AR75">
        <v>39.1</v>
      </c>
      <c r="AS75">
        <v>6.7</v>
      </c>
      <c r="AT75">
        <v>67.45</v>
      </c>
      <c r="AU75">
        <v>0</v>
      </c>
      <c r="AV75">
        <v>0</v>
      </c>
      <c r="AW75">
        <v>228.85</v>
      </c>
      <c r="AX75">
        <v>32.92</v>
      </c>
      <c r="AY75">
        <v>30.41</v>
      </c>
      <c r="AZ75">
        <v>4.2</v>
      </c>
      <c r="BA75">
        <v>39.1</v>
      </c>
      <c r="BB75">
        <v>0</v>
      </c>
      <c r="BC75">
        <v>16</v>
      </c>
      <c r="BD75">
        <v>73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450</v>
      </c>
      <c r="BN75">
        <v>850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850</v>
      </c>
      <c r="BV75">
        <v>552</v>
      </c>
      <c r="BW75" t="s">
        <v>188</v>
      </c>
      <c r="BX75">
        <v>0</v>
      </c>
      <c r="BY75" t="s">
        <v>1327</v>
      </c>
      <c r="CA75" t="s">
        <v>1328</v>
      </c>
      <c r="CB75" t="s">
        <v>1329</v>
      </c>
      <c r="CC75" t="s">
        <v>1330</v>
      </c>
      <c r="CD75" t="s">
        <v>188</v>
      </c>
      <c r="CE75" t="s">
        <v>1331</v>
      </c>
      <c r="CF75" t="s">
        <v>1332</v>
      </c>
      <c r="CG75" t="s">
        <v>1333</v>
      </c>
      <c r="CI75" t="s">
        <v>1334</v>
      </c>
      <c r="CK75" t="s">
        <v>802</v>
      </c>
      <c r="CL75" t="s">
        <v>1335</v>
      </c>
      <c r="CM75" t="s">
        <v>1336</v>
      </c>
      <c r="CN75" t="s">
        <v>1337</v>
      </c>
      <c r="CO75" t="s">
        <v>674</v>
      </c>
      <c r="CP75" t="s">
        <v>188</v>
      </c>
      <c r="CQ75" t="s">
        <v>188</v>
      </c>
      <c r="CR75">
        <v>0</v>
      </c>
      <c r="CS75">
        <v>0</v>
      </c>
      <c r="CX75">
        <v>0</v>
      </c>
      <c r="CY75">
        <v>0</v>
      </c>
      <c r="CZ75">
        <v>0</v>
      </c>
      <c r="DA75">
        <v>0</v>
      </c>
      <c r="DC75">
        <v>0</v>
      </c>
      <c r="DD75">
        <v>0</v>
      </c>
      <c r="EW75" t="s">
        <v>188</v>
      </c>
      <c r="EX75" t="s">
        <v>188</v>
      </c>
      <c r="EY75" t="s">
        <v>188</v>
      </c>
      <c r="EZ75" t="s">
        <v>188</v>
      </c>
      <c r="FA75">
        <v>4</v>
      </c>
      <c r="FB75" t="s">
        <v>188</v>
      </c>
      <c r="FC75" t="s">
        <v>681</v>
      </c>
      <c r="FD75" t="s">
        <v>682</v>
      </c>
      <c r="FE75">
        <v>111111111111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 t="s">
        <v>188</v>
      </c>
      <c r="GF75" t="s">
        <v>188</v>
      </c>
      <c r="GG75" t="s">
        <v>188</v>
      </c>
      <c r="GH75" s="1">
        <v>45149</v>
      </c>
      <c r="GJ75" t="s">
        <v>610</v>
      </c>
      <c r="GK75" t="s">
        <v>610</v>
      </c>
      <c r="GL75">
        <v>0</v>
      </c>
      <c r="GM75">
        <v>0</v>
      </c>
      <c r="GN75">
        <v>371</v>
      </c>
      <c r="GO75">
        <v>152</v>
      </c>
      <c r="GP75">
        <v>0</v>
      </c>
      <c r="GR75" s="1">
        <v>45152</v>
      </c>
      <c r="GV75" t="s">
        <v>188</v>
      </c>
      <c r="GW75" t="s">
        <v>188</v>
      </c>
      <c r="GX75" t="s">
        <v>188</v>
      </c>
      <c r="GY75" t="s">
        <v>188</v>
      </c>
      <c r="GZ75" t="s">
        <v>188</v>
      </c>
      <c r="HA75" t="s">
        <v>188</v>
      </c>
      <c r="HB75" t="s">
        <v>188</v>
      </c>
      <c r="HC75" t="s">
        <v>188</v>
      </c>
      <c r="HD75" t="s">
        <v>188</v>
      </c>
      <c r="HE75" t="s">
        <v>188</v>
      </c>
      <c r="HH75">
        <v>0</v>
      </c>
      <c r="HI75">
        <v>0</v>
      </c>
      <c r="HJ75">
        <v>37.590000000000003</v>
      </c>
      <c r="HK75">
        <v>29.5</v>
      </c>
      <c r="HL75">
        <v>33.869999999999997</v>
      </c>
      <c r="HN75" t="s">
        <v>188</v>
      </c>
      <c r="IS75">
        <v>0</v>
      </c>
      <c r="IT75">
        <v>0</v>
      </c>
      <c r="IU75">
        <v>0</v>
      </c>
      <c r="IV75">
        <v>0</v>
      </c>
      <c r="IW75">
        <v>0</v>
      </c>
      <c r="IX75" t="s">
        <v>1340</v>
      </c>
      <c r="IY75">
        <v>0</v>
      </c>
      <c r="IZ75">
        <v>0</v>
      </c>
      <c r="JA75">
        <v>0</v>
      </c>
      <c r="JB75">
        <v>0</v>
      </c>
      <c r="JC75" t="s">
        <v>613</v>
      </c>
      <c r="JD75" t="s">
        <v>1341</v>
      </c>
      <c r="JE75" t="s">
        <v>1342</v>
      </c>
      <c r="JF75">
        <v>0</v>
      </c>
      <c r="JG75" t="s">
        <v>1668</v>
      </c>
      <c r="JH75" t="s">
        <v>188</v>
      </c>
      <c r="JI75">
        <v>0</v>
      </c>
      <c r="JJ75" t="s">
        <v>188</v>
      </c>
      <c r="JK75">
        <v>36.39</v>
      </c>
      <c r="JL75">
        <v>5.5</v>
      </c>
      <c r="JM75">
        <v>3</v>
      </c>
    </row>
    <row r="76" spans="1:273" x14ac:dyDescent="0.3">
      <c r="A76" t="s">
        <v>1669</v>
      </c>
      <c r="B76" t="s">
        <v>302</v>
      </c>
      <c r="C76" t="s">
        <v>340</v>
      </c>
      <c r="D76" t="s">
        <v>657</v>
      </c>
      <c r="E76" t="s">
        <v>1114</v>
      </c>
      <c r="F76" t="s">
        <v>592</v>
      </c>
      <c r="G76">
        <v>5</v>
      </c>
      <c r="H76" t="s">
        <v>1670</v>
      </c>
      <c r="I76" t="s">
        <v>594</v>
      </c>
      <c r="J76" t="s">
        <v>993</v>
      </c>
      <c r="L76" t="s">
        <v>658</v>
      </c>
      <c r="M76" t="s">
        <v>1671</v>
      </c>
      <c r="N76">
        <v>1</v>
      </c>
      <c r="O76">
        <v>1</v>
      </c>
      <c r="P76">
        <v>1</v>
      </c>
      <c r="Q76">
        <v>8</v>
      </c>
      <c r="R76">
        <v>2</v>
      </c>
      <c r="S76">
        <v>0</v>
      </c>
      <c r="T76">
        <v>0</v>
      </c>
      <c r="U76">
        <v>0</v>
      </c>
      <c r="V76" t="s">
        <v>188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H76" t="s">
        <v>596</v>
      </c>
      <c r="AI76">
        <v>1</v>
      </c>
      <c r="AJ76" t="s">
        <v>199</v>
      </c>
      <c r="AK76">
        <v>1</v>
      </c>
      <c r="AL76">
        <v>26.5</v>
      </c>
      <c r="AM76">
        <v>147</v>
      </c>
      <c r="AN76">
        <v>0</v>
      </c>
      <c r="AO76">
        <v>0</v>
      </c>
      <c r="AP76">
        <v>0</v>
      </c>
      <c r="AQ76">
        <v>110</v>
      </c>
      <c r="AR76">
        <v>80</v>
      </c>
      <c r="AS76">
        <v>56.3</v>
      </c>
      <c r="AT76">
        <v>70.64</v>
      </c>
      <c r="AU76">
        <v>0</v>
      </c>
      <c r="AV76">
        <v>0</v>
      </c>
      <c r="AW76">
        <v>124.48</v>
      </c>
      <c r="AX76">
        <v>62.64</v>
      </c>
      <c r="AY76">
        <v>108.22</v>
      </c>
      <c r="AZ76">
        <v>12.6</v>
      </c>
      <c r="BA76">
        <v>80</v>
      </c>
      <c r="BB76">
        <v>0</v>
      </c>
      <c r="BC76">
        <v>29</v>
      </c>
      <c r="BD76">
        <v>95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800</v>
      </c>
      <c r="BN76">
        <v>1800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1800</v>
      </c>
      <c r="BV76">
        <v>365</v>
      </c>
      <c r="BW76" t="s">
        <v>188</v>
      </c>
      <c r="BX76">
        <v>0</v>
      </c>
      <c r="BY76" t="s">
        <v>1671</v>
      </c>
      <c r="CA76">
        <v>1800</v>
      </c>
      <c r="CB76">
        <v>80</v>
      </c>
      <c r="CC76">
        <v>147</v>
      </c>
      <c r="CD76" t="s">
        <v>188</v>
      </c>
      <c r="CE76" t="s">
        <v>1672</v>
      </c>
      <c r="CF76" t="s">
        <v>1673</v>
      </c>
      <c r="CG76" t="s">
        <v>1674</v>
      </c>
      <c r="CI76" t="s">
        <v>1675</v>
      </c>
      <c r="CK76">
        <v>10</v>
      </c>
      <c r="CL76" t="s">
        <v>1676</v>
      </c>
      <c r="CM76" t="s">
        <v>1677</v>
      </c>
      <c r="CN76" t="s">
        <v>1678</v>
      </c>
      <c r="CO76">
        <v>0</v>
      </c>
      <c r="CP76" t="s">
        <v>188</v>
      </c>
      <c r="CQ76" t="s">
        <v>188</v>
      </c>
      <c r="CR76">
        <v>51</v>
      </c>
      <c r="CS76">
        <v>0</v>
      </c>
      <c r="CT76" t="s">
        <v>1679</v>
      </c>
      <c r="CX76">
        <v>0</v>
      </c>
      <c r="CY76">
        <v>2100</v>
      </c>
      <c r="CZ76">
        <v>0</v>
      </c>
      <c r="DA76">
        <v>0</v>
      </c>
      <c r="DB76" t="s">
        <v>1680</v>
      </c>
      <c r="DC76">
        <v>0</v>
      </c>
      <c r="DD76">
        <v>0</v>
      </c>
      <c r="DI76" t="s">
        <v>1681</v>
      </c>
      <c r="DJ76" t="s">
        <v>1682</v>
      </c>
      <c r="DK76">
        <v>100</v>
      </c>
      <c r="DQ76" t="s">
        <v>755</v>
      </c>
      <c r="DR76">
        <v>110</v>
      </c>
      <c r="DS76" t="s">
        <v>1087</v>
      </c>
      <c r="DT76">
        <v>225</v>
      </c>
      <c r="EW76" t="s">
        <v>188</v>
      </c>
      <c r="EX76" t="s">
        <v>188</v>
      </c>
      <c r="EY76" t="s">
        <v>188</v>
      </c>
      <c r="EZ76" t="s">
        <v>188</v>
      </c>
      <c r="FA76">
        <v>4</v>
      </c>
      <c r="FB76" t="s">
        <v>188</v>
      </c>
      <c r="FE76">
        <v>1.1111111111111099E+23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 t="s">
        <v>188</v>
      </c>
      <c r="GF76" t="s">
        <v>188</v>
      </c>
      <c r="GG76" t="s">
        <v>188</v>
      </c>
      <c r="GH76" s="1">
        <v>44648</v>
      </c>
      <c r="GI76" t="s">
        <v>608</v>
      </c>
      <c r="GJ76" t="s">
        <v>609</v>
      </c>
      <c r="GK76" t="s">
        <v>610</v>
      </c>
      <c r="GL76">
        <v>0</v>
      </c>
      <c r="GM76">
        <v>0</v>
      </c>
      <c r="GN76">
        <v>152.4</v>
      </c>
      <c r="GO76">
        <v>101.6</v>
      </c>
      <c r="GP76">
        <v>0</v>
      </c>
      <c r="GQ76" t="s">
        <v>611</v>
      </c>
      <c r="GR76" s="1">
        <v>45145</v>
      </c>
      <c r="GV76" t="s">
        <v>188</v>
      </c>
      <c r="GW76" t="s">
        <v>188</v>
      </c>
      <c r="GX76" t="s">
        <v>188</v>
      </c>
      <c r="GY76" t="s">
        <v>188</v>
      </c>
      <c r="GZ76" t="s">
        <v>188</v>
      </c>
      <c r="HA76" t="s">
        <v>188</v>
      </c>
      <c r="HB76" t="s">
        <v>188</v>
      </c>
      <c r="HC76" t="s">
        <v>188</v>
      </c>
      <c r="HD76" t="s">
        <v>188</v>
      </c>
      <c r="HE76" t="s">
        <v>188</v>
      </c>
      <c r="HH76">
        <v>0</v>
      </c>
      <c r="HI76">
        <v>0</v>
      </c>
      <c r="HJ76">
        <v>79.959999999999994</v>
      </c>
      <c r="HK76">
        <v>55.58</v>
      </c>
      <c r="HL76">
        <v>121.33</v>
      </c>
      <c r="HN76" t="s">
        <v>188</v>
      </c>
      <c r="IS76">
        <v>0</v>
      </c>
      <c r="IT76">
        <v>0</v>
      </c>
      <c r="IU76">
        <v>0</v>
      </c>
      <c r="IV76">
        <v>0</v>
      </c>
      <c r="IW76">
        <v>0</v>
      </c>
      <c r="IX76" t="s">
        <v>1683</v>
      </c>
      <c r="IY76">
        <v>0</v>
      </c>
      <c r="IZ76">
        <v>0</v>
      </c>
      <c r="JA76">
        <v>0</v>
      </c>
      <c r="JB76">
        <v>0</v>
      </c>
      <c r="JC76" t="s">
        <v>613</v>
      </c>
      <c r="JD76" t="s">
        <v>614</v>
      </c>
      <c r="JE76" t="s">
        <v>791</v>
      </c>
      <c r="JF76">
        <v>0</v>
      </c>
      <c r="JH76" t="s">
        <v>188</v>
      </c>
      <c r="JI76">
        <v>0</v>
      </c>
      <c r="JJ76" t="s">
        <v>188</v>
      </c>
      <c r="JK76">
        <v>119.32</v>
      </c>
      <c r="JL76">
        <v>0</v>
      </c>
      <c r="JM76">
        <v>1</v>
      </c>
    </row>
    <row r="77" spans="1:273" x14ac:dyDescent="0.3">
      <c r="A77" t="s">
        <v>1684</v>
      </c>
      <c r="B77" t="s">
        <v>302</v>
      </c>
      <c r="C77" t="s">
        <v>340</v>
      </c>
      <c r="D77" t="s">
        <v>657</v>
      </c>
      <c r="E77" t="s">
        <v>1114</v>
      </c>
      <c r="F77" t="s">
        <v>659</v>
      </c>
      <c r="G77">
        <v>5</v>
      </c>
      <c r="H77" t="s">
        <v>1685</v>
      </c>
      <c r="I77" t="s">
        <v>594</v>
      </c>
      <c r="J77" t="s">
        <v>993</v>
      </c>
      <c r="L77" t="s">
        <v>658</v>
      </c>
      <c r="M77" t="s">
        <v>1686</v>
      </c>
      <c r="N77">
        <v>1</v>
      </c>
      <c r="O77">
        <v>1</v>
      </c>
      <c r="P77">
        <v>1</v>
      </c>
      <c r="Q77">
        <v>9</v>
      </c>
      <c r="R77">
        <v>2</v>
      </c>
      <c r="S77">
        <v>0</v>
      </c>
      <c r="T77">
        <v>0</v>
      </c>
      <c r="U77">
        <v>0</v>
      </c>
      <c r="V77" t="s">
        <v>188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 t="s">
        <v>596</v>
      </c>
      <c r="AI77">
        <v>1</v>
      </c>
      <c r="AJ77" t="s">
        <v>199</v>
      </c>
      <c r="AK77">
        <v>1</v>
      </c>
      <c r="AL77">
        <v>20</v>
      </c>
      <c r="AM77">
        <v>123</v>
      </c>
      <c r="AN77">
        <v>0</v>
      </c>
      <c r="AO77">
        <v>0</v>
      </c>
      <c r="AP77">
        <v>0</v>
      </c>
      <c r="AQ77">
        <v>225</v>
      </c>
      <c r="AR77">
        <v>44.5</v>
      </c>
      <c r="AS77">
        <v>29.6</v>
      </c>
      <c r="AT77">
        <v>71.06</v>
      </c>
      <c r="AU77">
        <v>0</v>
      </c>
      <c r="AV77">
        <v>0</v>
      </c>
      <c r="AW77">
        <v>93.87</v>
      </c>
      <c r="AX77">
        <v>35.299999999999997</v>
      </c>
      <c r="AY77">
        <v>45.72</v>
      </c>
      <c r="AZ77">
        <v>5.73</v>
      </c>
      <c r="BA77">
        <v>44.5</v>
      </c>
      <c r="BB77">
        <v>0</v>
      </c>
      <c r="BC77">
        <v>30</v>
      </c>
      <c r="BD77">
        <v>116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800</v>
      </c>
      <c r="BN77">
        <v>1400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1400</v>
      </c>
      <c r="BV77">
        <v>365</v>
      </c>
      <c r="BW77" t="s">
        <v>188</v>
      </c>
      <c r="BX77">
        <v>0</v>
      </c>
      <c r="BY77" t="s">
        <v>1684</v>
      </c>
      <c r="CA77">
        <v>1350</v>
      </c>
      <c r="CB77">
        <v>44.5</v>
      </c>
      <c r="CC77">
        <v>123</v>
      </c>
      <c r="CD77" t="s">
        <v>188</v>
      </c>
      <c r="CE77" t="s">
        <v>1687</v>
      </c>
      <c r="CF77" t="s">
        <v>1688</v>
      </c>
      <c r="CG77" t="s">
        <v>1689</v>
      </c>
      <c r="CI77" t="s">
        <v>1690</v>
      </c>
      <c r="CK77">
        <v>10</v>
      </c>
      <c r="CL77" t="s">
        <v>1691</v>
      </c>
      <c r="CM77" t="s">
        <v>1692</v>
      </c>
      <c r="CN77" t="s">
        <v>1693</v>
      </c>
      <c r="CO77">
        <v>0</v>
      </c>
      <c r="CP77" t="s">
        <v>188</v>
      </c>
      <c r="CQ77" t="s">
        <v>188</v>
      </c>
      <c r="CR77">
        <v>33</v>
      </c>
      <c r="CS77">
        <v>0</v>
      </c>
      <c r="CX77">
        <v>0</v>
      </c>
      <c r="CY77">
        <v>2100</v>
      </c>
      <c r="CZ77">
        <v>0</v>
      </c>
      <c r="DA77">
        <v>0</v>
      </c>
      <c r="DB77" t="s">
        <v>1694</v>
      </c>
      <c r="DC77">
        <v>0</v>
      </c>
      <c r="DD77">
        <v>0</v>
      </c>
      <c r="DI77" t="s">
        <v>1681</v>
      </c>
      <c r="DJ77" t="s">
        <v>1695</v>
      </c>
      <c r="DK77">
        <v>150</v>
      </c>
      <c r="DL77">
        <v>100</v>
      </c>
      <c r="DQ77" t="s">
        <v>755</v>
      </c>
      <c r="DR77">
        <v>120</v>
      </c>
      <c r="DS77" t="s">
        <v>1087</v>
      </c>
      <c r="DT77">
        <v>225</v>
      </c>
      <c r="EW77" t="s">
        <v>188</v>
      </c>
      <c r="EX77" t="s">
        <v>188</v>
      </c>
      <c r="EY77" t="s">
        <v>188</v>
      </c>
      <c r="EZ77" t="s">
        <v>188</v>
      </c>
      <c r="FA77">
        <v>4</v>
      </c>
      <c r="FB77" t="s">
        <v>188</v>
      </c>
      <c r="FE77">
        <v>1.11111111111111E+27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 t="s">
        <v>188</v>
      </c>
      <c r="GF77" t="s">
        <v>188</v>
      </c>
      <c r="GG77" t="s">
        <v>188</v>
      </c>
      <c r="GH77" s="1">
        <v>44869</v>
      </c>
      <c r="GI77" t="s">
        <v>608</v>
      </c>
      <c r="GJ77" t="s">
        <v>609</v>
      </c>
      <c r="GK77" t="s">
        <v>610</v>
      </c>
      <c r="GL77">
        <v>0</v>
      </c>
      <c r="GM77">
        <v>0</v>
      </c>
      <c r="GN77">
        <v>152.4</v>
      </c>
      <c r="GO77">
        <v>101.6</v>
      </c>
      <c r="GP77">
        <v>0</v>
      </c>
      <c r="GR77" s="1">
        <v>44970</v>
      </c>
      <c r="GV77" t="s">
        <v>188</v>
      </c>
      <c r="GW77" t="s">
        <v>188</v>
      </c>
      <c r="GX77" t="s">
        <v>188</v>
      </c>
      <c r="GY77" t="s">
        <v>188</v>
      </c>
      <c r="GZ77" t="s">
        <v>188</v>
      </c>
      <c r="HA77" t="s">
        <v>188</v>
      </c>
      <c r="HB77" t="s">
        <v>188</v>
      </c>
      <c r="HC77" t="s">
        <v>188</v>
      </c>
      <c r="HD77" t="s">
        <v>188</v>
      </c>
      <c r="HE77" t="s">
        <v>188</v>
      </c>
      <c r="HH77">
        <v>0</v>
      </c>
      <c r="HI77">
        <v>0</v>
      </c>
      <c r="HJ77">
        <v>43.97</v>
      </c>
      <c r="HK77">
        <v>31.74</v>
      </c>
      <c r="HL77">
        <v>50.84</v>
      </c>
      <c r="HN77" t="s">
        <v>188</v>
      </c>
      <c r="IS77">
        <v>0</v>
      </c>
      <c r="IT77">
        <v>0</v>
      </c>
      <c r="IU77">
        <v>0</v>
      </c>
      <c r="IV77">
        <v>0</v>
      </c>
      <c r="IW77">
        <v>0</v>
      </c>
      <c r="IX77" t="s">
        <v>1696</v>
      </c>
      <c r="IY77">
        <v>0</v>
      </c>
      <c r="IZ77">
        <v>0</v>
      </c>
      <c r="JA77">
        <v>0</v>
      </c>
      <c r="JB77">
        <v>0</v>
      </c>
      <c r="JC77" t="s">
        <v>613</v>
      </c>
      <c r="JD77" t="s">
        <v>1697</v>
      </c>
      <c r="JE77" t="s">
        <v>791</v>
      </c>
      <c r="JF77">
        <v>0</v>
      </c>
      <c r="JG77" t="s">
        <v>1698</v>
      </c>
      <c r="JH77" t="s">
        <v>188</v>
      </c>
      <c r="JI77">
        <v>0</v>
      </c>
      <c r="JJ77" t="s">
        <v>188</v>
      </c>
      <c r="JK77">
        <v>54.91</v>
      </c>
      <c r="JL77">
        <v>0</v>
      </c>
      <c r="JM77">
        <v>1</v>
      </c>
    </row>
    <row r="78" spans="1:273" x14ac:dyDescent="0.3">
      <c r="A78" t="s">
        <v>1699</v>
      </c>
      <c r="B78" t="s">
        <v>302</v>
      </c>
      <c r="C78" t="s">
        <v>340</v>
      </c>
      <c r="D78" t="s">
        <v>657</v>
      </c>
      <c r="E78" t="s">
        <v>1114</v>
      </c>
      <c r="F78" t="s">
        <v>592</v>
      </c>
      <c r="G78">
        <v>5</v>
      </c>
      <c r="H78" t="s">
        <v>1670</v>
      </c>
      <c r="I78" t="s">
        <v>594</v>
      </c>
      <c r="J78" t="s">
        <v>993</v>
      </c>
      <c r="L78" t="s">
        <v>658</v>
      </c>
      <c r="M78" t="s">
        <v>1671</v>
      </c>
      <c r="N78">
        <v>1</v>
      </c>
      <c r="O78">
        <v>1</v>
      </c>
      <c r="P78">
        <v>1</v>
      </c>
      <c r="Q78">
        <v>8</v>
      </c>
      <c r="R78">
        <v>2</v>
      </c>
      <c r="S78">
        <v>0</v>
      </c>
      <c r="T78">
        <v>0</v>
      </c>
      <c r="U78">
        <v>0</v>
      </c>
      <c r="V78" t="s">
        <v>188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 t="s">
        <v>596</v>
      </c>
      <c r="AI78">
        <v>1</v>
      </c>
      <c r="AJ78" t="s">
        <v>199</v>
      </c>
      <c r="AK78">
        <v>1</v>
      </c>
      <c r="AL78">
        <v>26.5</v>
      </c>
      <c r="AM78">
        <v>147</v>
      </c>
      <c r="AN78">
        <v>0</v>
      </c>
      <c r="AO78">
        <v>0</v>
      </c>
      <c r="AP78">
        <v>0</v>
      </c>
      <c r="AQ78">
        <v>110</v>
      </c>
      <c r="AR78">
        <v>80</v>
      </c>
      <c r="AS78">
        <v>56.3</v>
      </c>
      <c r="AT78">
        <v>70.64</v>
      </c>
      <c r="AU78">
        <v>0</v>
      </c>
      <c r="AV78">
        <v>0</v>
      </c>
      <c r="AW78">
        <v>124.48</v>
      </c>
      <c r="AX78">
        <v>62.64</v>
      </c>
      <c r="AY78">
        <v>108.22</v>
      </c>
      <c r="AZ78">
        <v>12.6</v>
      </c>
      <c r="BA78">
        <v>80</v>
      </c>
      <c r="BB78">
        <v>0</v>
      </c>
      <c r="BC78">
        <v>29</v>
      </c>
      <c r="BD78">
        <v>95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800</v>
      </c>
      <c r="BN78">
        <v>1800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1800</v>
      </c>
      <c r="BV78">
        <v>365</v>
      </c>
      <c r="BW78" t="s">
        <v>188</v>
      </c>
      <c r="BX78">
        <v>0</v>
      </c>
      <c r="BY78" t="s">
        <v>1671</v>
      </c>
      <c r="CA78">
        <v>1800</v>
      </c>
      <c r="CB78">
        <v>80</v>
      </c>
      <c r="CC78">
        <v>147</v>
      </c>
      <c r="CD78" t="s">
        <v>188</v>
      </c>
      <c r="CE78" t="s">
        <v>1672</v>
      </c>
      <c r="CF78" t="s">
        <v>1673</v>
      </c>
      <c r="CG78" t="s">
        <v>1674</v>
      </c>
      <c r="CI78" t="s">
        <v>1675</v>
      </c>
      <c r="CK78">
        <v>10</v>
      </c>
      <c r="CL78" t="s">
        <v>1676</v>
      </c>
      <c r="CM78" t="s">
        <v>1677</v>
      </c>
      <c r="CN78" t="s">
        <v>1678</v>
      </c>
      <c r="CO78">
        <v>0</v>
      </c>
      <c r="CP78" t="s">
        <v>188</v>
      </c>
      <c r="CQ78" t="s">
        <v>188</v>
      </c>
      <c r="CR78">
        <v>51</v>
      </c>
      <c r="CS78">
        <v>0</v>
      </c>
      <c r="CT78" t="s">
        <v>1679</v>
      </c>
      <c r="CX78">
        <v>0</v>
      </c>
      <c r="CY78">
        <v>2100</v>
      </c>
      <c r="CZ78">
        <v>0</v>
      </c>
      <c r="DA78">
        <v>0</v>
      </c>
      <c r="DB78" t="s">
        <v>1680</v>
      </c>
      <c r="DC78">
        <v>0</v>
      </c>
      <c r="DD78">
        <v>0</v>
      </c>
      <c r="DI78" t="s">
        <v>1681</v>
      </c>
      <c r="DJ78" t="s">
        <v>1682</v>
      </c>
      <c r="DK78">
        <v>100</v>
      </c>
      <c r="DQ78" t="s">
        <v>1231</v>
      </c>
      <c r="DR78">
        <v>60</v>
      </c>
      <c r="DS78" t="s">
        <v>1232</v>
      </c>
      <c r="DT78">
        <v>110</v>
      </c>
      <c r="EW78" t="s">
        <v>188</v>
      </c>
      <c r="EX78" t="s">
        <v>188</v>
      </c>
      <c r="EY78" t="s">
        <v>188</v>
      </c>
      <c r="EZ78" t="s">
        <v>188</v>
      </c>
      <c r="FA78">
        <v>4</v>
      </c>
      <c r="FB78" t="s">
        <v>188</v>
      </c>
      <c r="FE78">
        <v>1.1111111111111099E+23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 t="s">
        <v>188</v>
      </c>
      <c r="GF78" t="s">
        <v>188</v>
      </c>
      <c r="GG78" t="s">
        <v>188</v>
      </c>
      <c r="GH78" s="1">
        <v>44648</v>
      </c>
      <c r="GI78" t="s">
        <v>608</v>
      </c>
      <c r="GJ78" t="s">
        <v>609</v>
      </c>
      <c r="GK78" t="s">
        <v>610</v>
      </c>
      <c r="GL78">
        <v>0</v>
      </c>
      <c r="GM78">
        <v>0</v>
      </c>
      <c r="GN78">
        <v>152.4</v>
      </c>
      <c r="GO78">
        <v>101.6</v>
      </c>
      <c r="GP78">
        <v>0</v>
      </c>
      <c r="GQ78" t="s">
        <v>611</v>
      </c>
      <c r="GR78" s="1">
        <v>44872</v>
      </c>
      <c r="GV78" t="s">
        <v>188</v>
      </c>
      <c r="GW78" t="s">
        <v>188</v>
      </c>
      <c r="GX78" t="s">
        <v>188</v>
      </c>
      <c r="GY78" t="s">
        <v>188</v>
      </c>
      <c r="GZ78" t="s">
        <v>188</v>
      </c>
      <c r="HA78" t="s">
        <v>188</v>
      </c>
      <c r="HB78" t="s">
        <v>188</v>
      </c>
      <c r="HC78" t="s">
        <v>188</v>
      </c>
      <c r="HD78" t="s">
        <v>188</v>
      </c>
      <c r="HE78" t="s">
        <v>188</v>
      </c>
      <c r="HH78">
        <v>0</v>
      </c>
      <c r="HI78">
        <v>0</v>
      </c>
      <c r="HJ78">
        <v>79.959999999999994</v>
      </c>
      <c r="HK78">
        <v>55.58</v>
      </c>
      <c r="HL78">
        <v>121.33</v>
      </c>
      <c r="HN78" t="s">
        <v>188</v>
      </c>
      <c r="IS78">
        <v>0</v>
      </c>
      <c r="IT78">
        <v>0</v>
      </c>
      <c r="IU78">
        <v>0</v>
      </c>
      <c r="IV78">
        <v>0</v>
      </c>
      <c r="IW78">
        <v>0</v>
      </c>
      <c r="IX78" t="s">
        <v>1683</v>
      </c>
      <c r="IY78">
        <v>0</v>
      </c>
      <c r="IZ78">
        <v>0</v>
      </c>
      <c r="JA78">
        <v>0</v>
      </c>
      <c r="JB78">
        <v>0</v>
      </c>
      <c r="JC78" t="s">
        <v>613</v>
      </c>
      <c r="JD78" t="s">
        <v>614</v>
      </c>
      <c r="JE78" t="s">
        <v>791</v>
      </c>
      <c r="JF78">
        <v>0</v>
      </c>
      <c r="JH78" t="s">
        <v>188</v>
      </c>
      <c r="JI78">
        <v>0</v>
      </c>
      <c r="JJ78" t="s">
        <v>188</v>
      </c>
      <c r="JK78">
        <v>119.32</v>
      </c>
      <c r="JL78">
        <v>0</v>
      </c>
      <c r="JM78">
        <v>1</v>
      </c>
    </row>
    <row r="79" spans="1:273" x14ac:dyDescent="0.3">
      <c r="A79" t="s">
        <v>1700</v>
      </c>
      <c r="B79" t="s">
        <v>302</v>
      </c>
      <c r="C79" t="s">
        <v>340</v>
      </c>
      <c r="D79" t="s">
        <v>657</v>
      </c>
      <c r="E79" t="s">
        <v>1114</v>
      </c>
      <c r="F79" t="s">
        <v>592</v>
      </c>
      <c r="G79">
        <v>6</v>
      </c>
      <c r="H79" t="s">
        <v>1701</v>
      </c>
      <c r="I79" t="s">
        <v>594</v>
      </c>
      <c r="J79" t="s">
        <v>993</v>
      </c>
      <c r="L79" t="s">
        <v>658</v>
      </c>
      <c r="M79" t="s">
        <v>1671</v>
      </c>
      <c r="N79">
        <v>1</v>
      </c>
      <c r="O79">
        <v>1</v>
      </c>
      <c r="P79">
        <v>1</v>
      </c>
      <c r="Q79">
        <v>8</v>
      </c>
      <c r="R79">
        <v>2</v>
      </c>
      <c r="S79">
        <v>0</v>
      </c>
      <c r="T79">
        <v>0</v>
      </c>
      <c r="U79">
        <v>0</v>
      </c>
      <c r="V79" t="s">
        <v>188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 t="s">
        <v>188</v>
      </c>
      <c r="AD79">
        <v>0</v>
      </c>
      <c r="AE79">
        <v>0</v>
      </c>
      <c r="AF79">
        <v>0</v>
      </c>
      <c r="AG79">
        <v>0</v>
      </c>
      <c r="AH79" t="s">
        <v>596</v>
      </c>
      <c r="AI79">
        <v>1</v>
      </c>
      <c r="AJ79" t="s">
        <v>199</v>
      </c>
      <c r="AK79">
        <v>1</v>
      </c>
      <c r="AL79">
        <v>28.5</v>
      </c>
      <c r="AM79">
        <v>167</v>
      </c>
      <c r="AN79">
        <v>0</v>
      </c>
      <c r="AO79">
        <v>0</v>
      </c>
      <c r="AP79">
        <v>0</v>
      </c>
      <c r="AQ79">
        <v>0</v>
      </c>
      <c r="AR79">
        <v>90</v>
      </c>
      <c r="AS79">
        <v>66</v>
      </c>
      <c r="AT79">
        <v>77.180000000000007</v>
      </c>
      <c r="AU79">
        <v>0</v>
      </c>
      <c r="AV79">
        <v>0</v>
      </c>
      <c r="AW79">
        <v>142.30000000000001</v>
      </c>
      <c r="AX79">
        <v>72.88</v>
      </c>
      <c r="AY79">
        <v>131.74</v>
      </c>
      <c r="AZ79">
        <v>13.41</v>
      </c>
      <c r="BA79">
        <v>90</v>
      </c>
      <c r="BB79">
        <v>0</v>
      </c>
      <c r="BC79">
        <v>27</v>
      </c>
      <c r="BD79">
        <v>97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800</v>
      </c>
      <c r="BN79">
        <v>1800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1800</v>
      </c>
      <c r="BV79">
        <v>385</v>
      </c>
      <c r="BW79" t="s">
        <v>188</v>
      </c>
      <c r="BX79">
        <v>0</v>
      </c>
      <c r="BY79" t="s">
        <v>1671</v>
      </c>
      <c r="CA79">
        <v>1800</v>
      </c>
      <c r="CB79">
        <v>90</v>
      </c>
      <c r="CC79">
        <v>167</v>
      </c>
      <c r="CD79" t="s">
        <v>188</v>
      </c>
      <c r="CE79" t="s">
        <v>1702</v>
      </c>
      <c r="CF79" t="s">
        <v>1703</v>
      </c>
      <c r="CG79" t="s">
        <v>1704</v>
      </c>
      <c r="CI79" t="s">
        <v>1705</v>
      </c>
      <c r="CK79">
        <v>10</v>
      </c>
      <c r="CL79" t="s">
        <v>1706</v>
      </c>
      <c r="CM79" t="s">
        <v>1707</v>
      </c>
      <c r="CN79" t="s">
        <v>1708</v>
      </c>
      <c r="CP79" t="s">
        <v>188</v>
      </c>
      <c r="CQ79" t="s">
        <v>188</v>
      </c>
      <c r="CR79">
        <v>40</v>
      </c>
      <c r="CS79">
        <v>0</v>
      </c>
      <c r="CT79" t="s">
        <v>1709</v>
      </c>
      <c r="CX79">
        <v>0</v>
      </c>
      <c r="CY79">
        <v>2100</v>
      </c>
      <c r="CZ79">
        <v>0</v>
      </c>
      <c r="DA79">
        <v>0</v>
      </c>
      <c r="DB79" t="s">
        <v>1710</v>
      </c>
      <c r="DC79">
        <v>0</v>
      </c>
      <c r="DD79">
        <v>0</v>
      </c>
      <c r="DI79" t="s">
        <v>1681</v>
      </c>
      <c r="DJ79" t="s">
        <v>1711</v>
      </c>
      <c r="DK79">
        <v>100</v>
      </c>
      <c r="DQ79" t="s">
        <v>1012</v>
      </c>
      <c r="DR79">
        <v>60</v>
      </c>
      <c r="DS79" t="s">
        <v>1013</v>
      </c>
      <c r="DT79">
        <v>110</v>
      </c>
      <c r="DU79" t="s">
        <v>755</v>
      </c>
      <c r="DV79">
        <v>120</v>
      </c>
      <c r="EW79" t="s">
        <v>188</v>
      </c>
      <c r="EX79" t="s">
        <v>188</v>
      </c>
      <c r="EY79" t="s">
        <v>188</v>
      </c>
      <c r="EZ79" t="s">
        <v>188</v>
      </c>
      <c r="FA79">
        <v>4</v>
      </c>
      <c r="FB79" t="s">
        <v>188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 t="s">
        <v>188</v>
      </c>
      <c r="GF79" t="s">
        <v>188</v>
      </c>
      <c r="GG79" t="s">
        <v>188</v>
      </c>
      <c r="GH79" s="1">
        <v>44648</v>
      </c>
      <c r="GI79" t="s">
        <v>608</v>
      </c>
      <c r="GJ79" t="s">
        <v>609</v>
      </c>
      <c r="GK79" t="s">
        <v>610</v>
      </c>
      <c r="GN79">
        <v>152.4</v>
      </c>
      <c r="GO79">
        <v>101.6</v>
      </c>
      <c r="GP79">
        <v>0</v>
      </c>
      <c r="GQ79" t="s">
        <v>611</v>
      </c>
      <c r="GR79" s="1">
        <v>44648</v>
      </c>
      <c r="GV79" t="s">
        <v>188</v>
      </c>
      <c r="GW79" t="s">
        <v>188</v>
      </c>
      <c r="GX79" t="s">
        <v>188</v>
      </c>
      <c r="GY79" t="s">
        <v>188</v>
      </c>
      <c r="GZ79" t="s">
        <v>188</v>
      </c>
      <c r="HA79" t="s">
        <v>188</v>
      </c>
      <c r="HB79" t="s">
        <v>188</v>
      </c>
      <c r="HC79" t="s">
        <v>188</v>
      </c>
      <c r="HD79" t="s">
        <v>188</v>
      </c>
      <c r="HE79" t="s">
        <v>188</v>
      </c>
      <c r="HH79">
        <v>0</v>
      </c>
      <c r="HI79">
        <v>0</v>
      </c>
      <c r="HJ79">
        <v>89.98</v>
      </c>
      <c r="HK79">
        <v>64.83</v>
      </c>
      <c r="HL79">
        <v>146.51</v>
      </c>
      <c r="HN79" t="s">
        <v>188</v>
      </c>
      <c r="IS79">
        <v>0</v>
      </c>
      <c r="IT79">
        <v>0</v>
      </c>
      <c r="IU79">
        <v>0</v>
      </c>
      <c r="IV79">
        <v>0</v>
      </c>
      <c r="IW79">
        <v>0</v>
      </c>
      <c r="IX79" t="s">
        <v>1302</v>
      </c>
      <c r="IY79">
        <v>0</v>
      </c>
      <c r="IZ79">
        <v>0</v>
      </c>
      <c r="JA79">
        <v>0</v>
      </c>
      <c r="JB79">
        <v>0</v>
      </c>
      <c r="JC79" t="s">
        <v>613</v>
      </c>
      <c r="JD79" t="s">
        <v>614</v>
      </c>
      <c r="JF79">
        <v>0</v>
      </c>
      <c r="JH79" t="s">
        <v>188</v>
      </c>
      <c r="JI79">
        <v>0</v>
      </c>
      <c r="JJ79" t="s">
        <v>188</v>
      </c>
      <c r="JK79">
        <v>144.08000000000001</v>
      </c>
      <c r="JL79">
        <v>0</v>
      </c>
      <c r="JM79">
        <v>1</v>
      </c>
    </row>
    <row r="80" spans="1:273" x14ac:dyDescent="0.3">
      <c r="A80" t="s">
        <v>1712</v>
      </c>
      <c r="B80" t="s">
        <v>302</v>
      </c>
      <c r="C80" t="s">
        <v>340</v>
      </c>
      <c r="D80" t="s">
        <v>657</v>
      </c>
      <c r="E80" t="s">
        <v>1114</v>
      </c>
      <c r="F80" t="s">
        <v>659</v>
      </c>
      <c r="G80">
        <v>5</v>
      </c>
      <c r="H80" t="s">
        <v>1685</v>
      </c>
      <c r="I80" t="s">
        <v>594</v>
      </c>
      <c r="J80" t="s">
        <v>993</v>
      </c>
      <c r="L80" t="s">
        <v>658</v>
      </c>
      <c r="M80" t="s">
        <v>1686</v>
      </c>
      <c r="N80">
        <v>1</v>
      </c>
      <c r="O80">
        <v>1</v>
      </c>
      <c r="P80">
        <v>1</v>
      </c>
      <c r="Q80">
        <v>9</v>
      </c>
      <c r="R80">
        <v>2</v>
      </c>
      <c r="S80">
        <v>0</v>
      </c>
      <c r="T80">
        <v>0</v>
      </c>
      <c r="U80">
        <v>0</v>
      </c>
      <c r="V80" t="s">
        <v>188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 t="s">
        <v>596</v>
      </c>
      <c r="AI80">
        <v>1</v>
      </c>
      <c r="AJ80" t="s">
        <v>199</v>
      </c>
      <c r="AK80">
        <v>1</v>
      </c>
      <c r="AL80">
        <v>20</v>
      </c>
      <c r="AM80">
        <v>123</v>
      </c>
      <c r="AN80">
        <v>0</v>
      </c>
      <c r="AO80">
        <v>0</v>
      </c>
      <c r="AP80">
        <v>0</v>
      </c>
      <c r="AQ80">
        <v>110</v>
      </c>
      <c r="AR80">
        <v>44.5</v>
      </c>
      <c r="AS80">
        <v>29.6</v>
      </c>
      <c r="AT80">
        <v>71.06</v>
      </c>
      <c r="AU80">
        <v>0</v>
      </c>
      <c r="AV80">
        <v>0</v>
      </c>
      <c r="AW80">
        <v>93.87</v>
      </c>
      <c r="AX80">
        <v>35.299999999999997</v>
      </c>
      <c r="AY80">
        <v>45.72</v>
      </c>
      <c r="AZ80">
        <v>5.73</v>
      </c>
      <c r="BA80">
        <v>44.5</v>
      </c>
      <c r="BB80">
        <v>0</v>
      </c>
      <c r="BC80">
        <v>30</v>
      </c>
      <c r="BD80">
        <v>116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800</v>
      </c>
      <c r="BN80">
        <v>1400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1400</v>
      </c>
      <c r="BV80">
        <v>365</v>
      </c>
      <c r="BW80" t="s">
        <v>188</v>
      </c>
      <c r="BX80">
        <v>0</v>
      </c>
      <c r="BY80" t="s">
        <v>1686</v>
      </c>
      <c r="CA80">
        <v>1400</v>
      </c>
      <c r="CB80">
        <v>44.5</v>
      </c>
      <c r="CC80">
        <v>123</v>
      </c>
      <c r="CD80" t="s">
        <v>188</v>
      </c>
      <c r="CE80" t="s">
        <v>1687</v>
      </c>
      <c r="CF80" t="s">
        <v>1688</v>
      </c>
      <c r="CG80" t="s">
        <v>1689</v>
      </c>
      <c r="CI80" t="s">
        <v>1690</v>
      </c>
      <c r="CK80">
        <v>10</v>
      </c>
      <c r="CL80" t="s">
        <v>1691</v>
      </c>
      <c r="CM80" t="s">
        <v>1692</v>
      </c>
      <c r="CN80" t="s">
        <v>1693</v>
      </c>
      <c r="CO80">
        <v>0</v>
      </c>
      <c r="CP80" t="s">
        <v>188</v>
      </c>
      <c r="CQ80" t="s">
        <v>188</v>
      </c>
      <c r="CR80">
        <v>33</v>
      </c>
      <c r="CS80">
        <v>0</v>
      </c>
      <c r="CT80" t="s">
        <v>1679</v>
      </c>
      <c r="CX80">
        <v>0</v>
      </c>
      <c r="CY80">
        <v>2100</v>
      </c>
      <c r="CZ80">
        <v>0</v>
      </c>
      <c r="DA80">
        <v>0</v>
      </c>
      <c r="DB80" t="s">
        <v>1713</v>
      </c>
      <c r="DC80">
        <v>0</v>
      </c>
      <c r="DD80">
        <v>0</v>
      </c>
      <c r="DI80" t="s">
        <v>1681</v>
      </c>
      <c r="DJ80" t="s">
        <v>1695</v>
      </c>
      <c r="DK80">
        <v>150</v>
      </c>
      <c r="DL80">
        <v>100</v>
      </c>
      <c r="DQ80" t="s">
        <v>1231</v>
      </c>
      <c r="DR80">
        <v>60</v>
      </c>
      <c r="DS80" t="s">
        <v>1232</v>
      </c>
      <c r="DT80">
        <v>110</v>
      </c>
      <c r="EW80" t="s">
        <v>188</v>
      </c>
      <c r="EX80" t="s">
        <v>188</v>
      </c>
      <c r="EY80" t="s">
        <v>188</v>
      </c>
      <c r="EZ80" t="s">
        <v>188</v>
      </c>
      <c r="FA80">
        <v>4</v>
      </c>
      <c r="FB80" t="s">
        <v>188</v>
      </c>
      <c r="FE80">
        <v>1.11111111111111E+27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 t="s">
        <v>188</v>
      </c>
      <c r="GF80" t="s">
        <v>188</v>
      </c>
      <c r="GG80" t="s">
        <v>188</v>
      </c>
      <c r="GH80" s="1">
        <v>44648</v>
      </c>
      <c r="GI80" t="s">
        <v>608</v>
      </c>
      <c r="GJ80" t="s">
        <v>609</v>
      </c>
      <c r="GK80" t="s">
        <v>610</v>
      </c>
      <c r="GL80">
        <v>0</v>
      </c>
      <c r="GM80">
        <v>0</v>
      </c>
      <c r="GN80">
        <v>152.4</v>
      </c>
      <c r="GO80">
        <v>101.6</v>
      </c>
      <c r="GP80">
        <v>0</v>
      </c>
      <c r="GQ80" t="s">
        <v>611</v>
      </c>
      <c r="GR80" s="1">
        <v>44869</v>
      </c>
      <c r="GV80" t="s">
        <v>188</v>
      </c>
      <c r="GW80" t="s">
        <v>188</v>
      </c>
      <c r="GX80" t="s">
        <v>188</v>
      </c>
      <c r="GY80" t="s">
        <v>188</v>
      </c>
      <c r="GZ80" t="s">
        <v>188</v>
      </c>
      <c r="HA80" t="s">
        <v>188</v>
      </c>
      <c r="HB80" t="s">
        <v>188</v>
      </c>
      <c r="HC80" t="s">
        <v>188</v>
      </c>
      <c r="HD80" t="s">
        <v>188</v>
      </c>
      <c r="HE80" t="s">
        <v>188</v>
      </c>
      <c r="HH80">
        <v>0</v>
      </c>
      <c r="HI80">
        <v>0</v>
      </c>
      <c r="HJ80">
        <v>43.97</v>
      </c>
      <c r="HK80">
        <v>31.74</v>
      </c>
      <c r="HL80">
        <v>50.84</v>
      </c>
      <c r="HN80" t="s">
        <v>188</v>
      </c>
      <c r="IS80">
        <v>0</v>
      </c>
      <c r="IT80">
        <v>0</v>
      </c>
      <c r="IU80">
        <v>0</v>
      </c>
      <c r="IV80">
        <v>0</v>
      </c>
      <c r="IW80">
        <v>0</v>
      </c>
      <c r="IX80" t="s">
        <v>1696</v>
      </c>
      <c r="IY80">
        <v>0</v>
      </c>
      <c r="IZ80">
        <v>0</v>
      </c>
      <c r="JA80">
        <v>0</v>
      </c>
      <c r="JB80">
        <v>0</v>
      </c>
      <c r="JC80" t="s">
        <v>613</v>
      </c>
      <c r="JD80" t="s">
        <v>1697</v>
      </c>
      <c r="JE80" t="s">
        <v>791</v>
      </c>
      <c r="JF80">
        <v>0</v>
      </c>
      <c r="JH80" t="s">
        <v>188</v>
      </c>
      <c r="JI80">
        <v>0</v>
      </c>
      <c r="JJ80" t="s">
        <v>188</v>
      </c>
      <c r="JK80">
        <v>54.91</v>
      </c>
      <c r="JL80">
        <v>0</v>
      </c>
      <c r="JM80">
        <v>1</v>
      </c>
    </row>
    <row r="81" spans="1:273" x14ac:dyDescent="0.3">
      <c r="A81" t="s">
        <v>1714</v>
      </c>
      <c r="B81" t="s">
        <v>302</v>
      </c>
      <c r="C81" t="s">
        <v>340</v>
      </c>
      <c r="D81" t="s">
        <v>657</v>
      </c>
      <c r="E81" t="s">
        <v>1114</v>
      </c>
      <c r="F81" t="s">
        <v>592</v>
      </c>
      <c r="G81">
        <v>5</v>
      </c>
      <c r="H81" t="s">
        <v>1670</v>
      </c>
      <c r="I81" t="s">
        <v>594</v>
      </c>
      <c r="J81" t="s">
        <v>993</v>
      </c>
      <c r="L81" t="s">
        <v>658</v>
      </c>
      <c r="M81" t="s">
        <v>1671</v>
      </c>
      <c r="N81">
        <v>1</v>
      </c>
      <c r="O81">
        <v>1</v>
      </c>
      <c r="P81">
        <v>1</v>
      </c>
      <c r="Q81">
        <v>8</v>
      </c>
      <c r="R81">
        <v>2</v>
      </c>
      <c r="S81">
        <v>0</v>
      </c>
      <c r="T81">
        <v>0</v>
      </c>
      <c r="U81">
        <v>0</v>
      </c>
      <c r="V81" t="s">
        <v>188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 t="s">
        <v>596</v>
      </c>
      <c r="AI81">
        <v>1</v>
      </c>
      <c r="AJ81" t="s">
        <v>199</v>
      </c>
      <c r="AK81">
        <v>1</v>
      </c>
      <c r="AL81">
        <v>26.5</v>
      </c>
      <c r="AM81">
        <v>147</v>
      </c>
      <c r="AN81">
        <v>0</v>
      </c>
      <c r="AO81">
        <v>0</v>
      </c>
      <c r="AP81">
        <v>0</v>
      </c>
      <c r="AQ81">
        <v>110</v>
      </c>
      <c r="AR81">
        <v>80</v>
      </c>
      <c r="AS81">
        <v>56.3</v>
      </c>
      <c r="AT81">
        <v>70.64</v>
      </c>
      <c r="AU81">
        <v>0</v>
      </c>
      <c r="AV81">
        <v>0</v>
      </c>
      <c r="AW81">
        <v>124.48</v>
      </c>
      <c r="AX81">
        <v>62.64</v>
      </c>
      <c r="AY81">
        <v>108.22</v>
      </c>
      <c r="AZ81">
        <v>12.6</v>
      </c>
      <c r="BA81">
        <v>80</v>
      </c>
      <c r="BB81">
        <v>0</v>
      </c>
      <c r="BC81">
        <v>29</v>
      </c>
      <c r="BD81">
        <v>95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800</v>
      </c>
      <c r="BN81">
        <v>1800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1800</v>
      </c>
      <c r="BV81">
        <v>365</v>
      </c>
      <c r="BW81" t="s">
        <v>188</v>
      </c>
      <c r="BX81">
        <v>0</v>
      </c>
      <c r="BY81" t="s">
        <v>1671</v>
      </c>
      <c r="CA81">
        <v>1800</v>
      </c>
      <c r="CB81">
        <v>80</v>
      </c>
      <c r="CC81">
        <v>147</v>
      </c>
      <c r="CD81" t="s">
        <v>188</v>
      </c>
      <c r="CE81" t="s">
        <v>1672</v>
      </c>
      <c r="CF81" t="s">
        <v>1673</v>
      </c>
      <c r="CG81" t="s">
        <v>1674</v>
      </c>
      <c r="CI81" t="s">
        <v>1675</v>
      </c>
      <c r="CK81">
        <v>10</v>
      </c>
      <c r="CL81" t="s">
        <v>1676</v>
      </c>
      <c r="CM81" t="s">
        <v>1677</v>
      </c>
      <c r="CN81" t="s">
        <v>1678</v>
      </c>
      <c r="CO81">
        <v>0</v>
      </c>
      <c r="CP81" t="s">
        <v>188</v>
      </c>
      <c r="CQ81" t="s">
        <v>188</v>
      </c>
      <c r="CR81">
        <v>51</v>
      </c>
      <c r="CS81">
        <v>0</v>
      </c>
      <c r="CT81" t="s">
        <v>1679</v>
      </c>
      <c r="CX81">
        <v>0</v>
      </c>
      <c r="CY81">
        <v>2100</v>
      </c>
      <c r="CZ81">
        <v>0</v>
      </c>
      <c r="DA81">
        <v>0</v>
      </c>
      <c r="DB81" t="s">
        <v>1680</v>
      </c>
      <c r="DC81">
        <v>0</v>
      </c>
      <c r="DD81">
        <v>0</v>
      </c>
      <c r="DI81" t="s">
        <v>1681</v>
      </c>
      <c r="DJ81" t="s">
        <v>1682</v>
      </c>
      <c r="DK81">
        <v>100</v>
      </c>
      <c r="DQ81" t="s">
        <v>755</v>
      </c>
      <c r="DR81">
        <v>110</v>
      </c>
      <c r="DS81" t="s">
        <v>1087</v>
      </c>
      <c r="DT81">
        <v>225</v>
      </c>
      <c r="EW81" t="s">
        <v>188</v>
      </c>
      <c r="EX81" t="s">
        <v>188</v>
      </c>
      <c r="EY81" t="s">
        <v>188</v>
      </c>
      <c r="EZ81" t="s">
        <v>188</v>
      </c>
      <c r="FA81">
        <v>4</v>
      </c>
      <c r="FB81" t="s">
        <v>188</v>
      </c>
      <c r="FE81">
        <v>1.1111111111111099E+23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 t="s">
        <v>188</v>
      </c>
      <c r="GF81" t="s">
        <v>188</v>
      </c>
      <c r="GG81" t="s">
        <v>188</v>
      </c>
      <c r="GH81" s="1">
        <v>44648</v>
      </c>
      <c r="GI81" t="s">
        <v>608</v>
      </c>
      <c r="GJ81" t="s">
        <v>609</v>
      </c>
      <c r="GK81" t="s">
        <v>610</v>
      </c>
      <c r="GL81">
        <v>0</v>
      </c>
      <c r="GM81">
        <v>0</v>
      </c>
      <c r="GN81">
        <v>152.4</v>
      </c>
      <c r="GO81">
        <v>101.6</v>
      </c>
      <c r="GP81">
        <v>0</v>
      </c>
      <c r="GQ81" t="s">
        <v>611</v>
      </c>
      <c r="GR81" s="1">
        <v>45146</v>
      </c>
      <c r="GV81" t="s">
        <v>188</v>
      </c>
      <c r="GW81" t="s">
        <v>188</v>
      </c>
      <c r="GX81" t="s">
        <v>188</v>
      </c>
      <c r="GY81" t="s">
        <v>188</v>
      </c>
      <c r="GZ81" t="s">
        <v>188</v>
      </c>
      <c r="HA81" t="s">
        <v>188</v>
      </c>
      <c r="HB81" t="s">
        <v>188</v>
      </c>
      <c r="HC81" t="s">
        <v>188</v>
      </c>
      <c r="HD81" t="s">
        <v>188</v>
      </c>
      <c r="HE81" t="s">
        <v>188</v>
      </c>
      <c r="HH81">
        <v>0</v>
      </c>
      <c r="HI81">
        <v>0</v>
      </c>
      <c r="HJ81">
        <v>79.959999999999994</v>
      </c>
      <c r="HK81">
        <v>55.58</v>
      </c>
      <c r="HL81">
        <v>121.33</v>
      </c>
      <c r="HN81" t="s">
        <v>188</v>
      </c>
      <c r="IS81">
        <v>0</v>
      </c>
      <c r="IT81">
        <v>0</v>
      </c>
      <c r="IU81">
        <v>0</v>
      </c>
      <c r="IV81">
        <v>0</v>
      </c>
      <c r="IW81">
        <v>0</v>
      </c>
      <c r="IX81" t="s">
        <v>1683</v>
      </c>
      <c r="IY81">
        <v>0</v>
      </c>
      <c r="IZ81">
        <v>0</v>
      </c>
      <c r="JA81">
        <v>0</v>
      </c>
      <c r="JB81">
        <v>0</v>
      </c>
      <c r="JC81" t="s">
        <v>613</v>
      </c>
      <c r="JD81" t="s">
        <v>614</v>
      </c>
      <c r="JE81" t="s">
        <v>791</v>
      </c>
      <c r="JF81">
        <v>0</v>
      </c>
      <c r="JH81" t="s">
        <v>188</v>
      </c>
      <c r="JI81">
        <v>0</v>
      </c>
      <c r="JJ81" t="s">
        <v>188</v>
      </c>
      <c r="JK81">
        <v>119.32</v>
      </c>
      <c r="JL81">
        <v>0</v>
      </c>
      <c r="JM81">
        <v>1</v>
      </c>
    </row>
    <row r="82" spans="1:273" x14ac:dyDescent="0.3">
      <c r="A82" t="s">
        <v>1715</v>
      </c>
      <c r="B82" t="s">
        <v>302</v>
      </c>
      <c r="C82" t="s">
        <v>340</v>
      </c>
      <c r="D82" t="s">
        <v>590</v>
      </c>
      <c r="E82" t="s">
        <v>1114</v>
      </c>
      <c r="F82" t="s">
        <v>592</v>
      </c>
      <c r="G82">
        <v>4</v>
      </c>
      <c r="H82" t="s">
        <v>734</v>
      </c>
      <c r="I82" t="s">
        <v>594</v>
      </c>
      <c r="J82" t="s">
        <v>661</v>
      </c>
      <c r="N82">
        <v>3</v>
      </c>
      <c r="O82">
        <v>3</v>
      </c>
      <c r="P82">
        <v>1</v>
      </c>
      <c r="Q82">
        <v>11</v>
      </c>
      <c r="R82">
        <v>2</v>
      </c>
      <c r="S82">
        <v>0</v>
      </c>
      <c r="T82">
        <v>0</v>
      </c>
      <c r="U82">
        <v>0</v>
      </c>
      <c r="V82" t="s">
        <v>188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0</v>
      </c>
      <c r="AH82" t="s">
        <v>596</v>
      </c>
      <c r="AI82">
        <v>1</v>
      </c>
      <c r="AJ82" t="s">
        <v>199</v>
      </c>
      <c r="AK82">
        <v>1</v>
      </c>
      <c r="AL82">
        <v>5.9</v>
      </c>
      <c r="AM82">
        <v>82.6</v>
      </c>
      <c r="AN82">
        <v>0</v>
      </c>
      <c r="AO82">
        <v>0</v>
      </c>
      <c r="AP82">
        <v>0</v>
      </c>
      <c r="AQ82">
        <v>0</v>
      </c>
      <c r="AR82">
        <v>52.9</v>
      </c>
      <c r="AS82">
        <v>5.8</v>
      </c>
      <c r="AT82">
        <v>62.5</v>
      </c>
      <c r="AU82">
        <v>0</v>
      </c>
      <c r="AV82">
        <v>0</v>
      </c>
      <c r="AW82">
        <v>61.72</v>
      </c>
      <c r="AX82">
        <v>49.4</v>
      </c>
      <c r="AY82">
        <v>47.83</v>
      </c>
      <c r="AZ82">
        <v>4.72</v>
      </c>
      <c r="BA82">
        <v>52.9</v>
      </c>
      <c r="BB82">
        <v>0</v>
      </c>
      <c r="BC82">
        <v>29</v>
      </c>
      <c r="BD82">
        <v>171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200</v>
      </c>
      <c r="BN82">
        <v>2200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2200</v>
      </c>
      <c r="BV82">
        <v>257</v>
      </c>
      <c r="BW82" t="s">
        <v>188</v>
      </c>
      <c r="BX82">
        <v>0</v>
      </c>
      <c r="BY82" t="s">
        <v>1498</v>
      </c>
      <c r="CA82" t="s">
        <v>1499</v>
      </c>
      <c r="CB82" t="s">
        <v>1500</v>
      </c>
      <c r="CC82" t="s">
        <v>1501</v>
      </c>
      <c r="CD82" t="s">
        <v>188</v>
      </c>
      <c r="CE82" t="s">
        <v>1502</v>
      </c>
      <c r="CF82" t="s">
        <v>1503</v>
      </c>
      <c r="CG82" t="s">
        <v>1504</v>
      </c>
      <c r="CI82" t="s">
        <v>1505</v>
      </c>
      <c r="CK82" t="s">
        <v>1506</v>
      </c>
      <c r="CL82" t="s">
        <v>1507</v>
      </c>
      <c r="CM82" t="s">
        <v>1508</v>
      </c>
      <c r="CN82" t="s">
        <v>1509</v>
      </c>
      <c r="CO82" t="s">
        <v>674</v>
      </c>
      <c r="CP82" t="s">
        <v>188</v>
      </c>
      <c r="CQ82" t="s">
        <v>188</v>
      </c>
      <c r="CR82">
        <v>0</v>
      </c>
      <c r="CS82">
        <v>0</v>
      </c>
      <c r="CX82">
        <v>0</v>
      </c>
      <c r="CY82">
        <v>0</v>
      </c>
      <c r="CZ82">
        <v>0</v>
      </c>
      <c r="DA82">
        <v>0</v>
      </c>
      <c r="DC82">
        <v>0</v>
      </c>
      <c r="DD82">
        <v>0</v>
      </c>
      <c r="DQ82" t="s">
        <v>1661</v>
      </c>
      <c r="DR82">
        <v>30</v>
      </c>
      <c r="DS82" t="s">
        <v>1662</v>
      </c>
      <c r="DT82">
        <v>55</v>
      </c>
      <c r="EW82" t="s">
        <v>188</v>
      </c>
      <c r="EX82" t="s">
        <v>188</v>
      </c>
      <c r="EY82" t="s">
        <v>188</v>
      </c>
      <c r="EZ82" t="s">
        <v>188</v>
      </c>
      <c r="FA82">
        <v>4</v>
      </c>
      <c r="FB82" t="s">
        <v>188</v>
      </c>
      <c r="FC82" t="s">
        <v>681</v>
      </c>
      <c r="FD82" t="s">
        <v>682</v>
      </c>
      <c r="FE82">
        <v>1.1111111111111101E+31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 t="s">
        <v>188</v>
      </c>
      <c r="GF82" t="s">
        <v>188</v>
      </c>
      <c r="GG82" t="s">
        <v>188</v>
      </c>
      <c r="GH82" s="1">
        <v>45149</v>
      </c>
      <c r="GJ82" t="s">
        <v>610</v>
      </c>
      <c r="GK82" t="s">
        <v>610</v>
      </c>
      <c r="GL82">
        <v>0</v>
      </c>
      <c r="GM82">
        <v>0</v>
      </c>
      <c r="GN82">
        <v>177.8</v>
      </c>
      <c r="GO82">
        <v>76.2</v>
      </c>
      <c r="GP82">
        <v>0</v>
      </c>
      <c r="GR82" s="1">
        <v>45162</v>
      </c>
      <c r="GV82" t="s">
        <v>188</v>
      </c>
      <c r="GW82" t="s">
        <v>188</v>
      </c>
      <c r="GX82" t="s">
        <v>188</v>
      </c>
      <c r="GY82" t="s">
        <v>188</v>
      </c>
      <c r="GZ82" t="s">
        <v>188</v>
      </c>
      <c r="HA82" t="s">
        <v>188</v>
      </c>
      <c r="HB82" t="s">
        <v>188</v>
      </c>
      <c r="HC82" t="s">
        <v>188</v>
      </c>
      <c r="HD82" t="s">
        <v>188</v>
      </c>
      <c r="HE82" t="s">
        <v>188</v>
      </c>
      <c r="HH82">
        <v>0</v>
      </c>
      <c r="HI82">
        <v>0</v>
      </c>
      <c r="HJ82">
        <v>53.34</v>
      </c>
      <c r="HK82">
        <v>46.83</v>
      </c>
      <c r="HL82">
        <v>57.2</v>
      </c>
      <c r="HN82" t="s">
        <v>188</v>
      </c>
      <c r="IS82">
        <v>0</v>
      </c>
      <c r="IT82">
        <v>0</v>
      </c>
      <c r="IU82">
        <v>0</v>
      </c>
      <c r="IV82">
        <v>0</v>
      </c>
      <c r="IW82">
        <v>0</v>
      </c>
      <c r="IX82" t="s">
        <v>1510</v>
      </c>
      <c r="IY82">
        <v>0</v>
      </c>
      <c r="IZ82">
        <v>0</v>
      </c>
      <c r="JA82">
        <v>0</v>
      </c>
      <c r="JB82">
        <v>0</v>
      </c>
      <c r="JC82" t="s">
        <v>613</v>
      </c>
      <c r="JD82" t="s">
        <v>1511</v>
      </c>
      <c r="JE82" t="s">
        <v>1512</v>
      </c>
      <c r="JF82">
        <v>0</v>
      </c>
      <c r="JG82" t="s">
        <v>1716</v>
      </c>
      <c r="JH82" t="s">
        <v>188</v>
      </c>
      <c r="JI82">
        <v>0</v>
      </c>
      <c r="JJ82" t="s">
        <v>188</v>
      </c>
      <c r="JK82">
        <v>69.459999999999994</v>
      </c>
      <c r="JL82">
        <v>6.5</v>
      </c>
      <c r="JM82">
        <v>3</v>
      </c>
    </row>
    <row r="83" spans="1:273" x14ac:dyDescent="0.3">
      <c r="A83" t="s">
        <v>787</v>
      </c>
      <c r="B83" t="s">
        <v>302</v>
      </c>
      <c r="C83" t="s">
        <v>340</v>
      </c>
      <c r="D83" t="s">
        <v>590</v>
      </c>
      <c r="E83" t="s">
        <v>1114</v>
      </c>
      <c r="F83" t="s">
        <v>592</v>
      </c>
      <c r="G83">
        <v>8</v>
      </c>
      <c r="H83" t="s">
        <v>1481</v>
      </c>
      <c r="I83" t="s">
        <v>594</v>
      </c>
      <c r="J83" t="s">
        <v>661</v>
      </c>
      <c r="N83">
        <v>3</v>
      </c>
      <c r="O83">
        <v>3</v>
      </c>
      <c r="P83">
        <v>1</v>
      </c>
      <c r="Q83">
        <v>11</v>
      </c>
      <c r="R83">
        <v>2</v>
      </c>
      <c r="S83">
        <v>0</v>
      </c>
      <c r="T83">
        <v>0</v>
      </c>
      <c r="U83">
        <v>0</v>
      </c>
      <c r="V83" t="s">
        <v>188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 t="s">
        <v>869</v>
      </c>
      <c r="AI83">
        <v>0.2777</v>
      </c>
      <c r="AJ83" t="s">
        <v>199</v>
      </c>
      <c r="AK83">
        <v>1</v>
      </c>
      <c r="AL83">
        <v>64</v>
      </c>
      <c r="AM83">
        <v>601.20000000000005</v>
      </c>
      <c r="AN83">
        <v>0</v>
      </c>
      <c r="AO83">
        <v>0</v>
      </c>
      <c r="AP83">
        <v>0</v>
      </c>
      <c r="AQ83">
        <v>0</v>
      </c>
      <c r="AR83">
        <v>58.3</v>
      </c>
      <c r="AS83">
        <v>12.1</v>
      </c>
      <c r="AT83">
        <v>67.69</v>
      </c>
      <c r="AU83">
        <v>0</v>
      </c>
      <c r="AV83">
        <v>0</v>
      </c>
      <c r="AW83">
        <v>443.11</v>
      </c>
      <c r="AX83">
        <v>53.34</v>
      </c>
      <c r="AY83">
        <v>95.06</v>
      </c>
      <c r="AZ83">
        <v>6.14</v>
      </c>
      <c r="BA83">
        <v>58.3</v>
      </c>
      <c r="BB83">
        <v>0</v>
      </c>
      <c r="BC83">
        <v>14</v>
      </c>
      <c r="BD83">
        <v>72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400</v>
      </c>
      <c r="BN83">
        <v>800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800</v>
      </c>
      <c r="BV83">
        <v>715</v>
      </c>
      <c r="BW83" t="s">
        <v>188</v>
      </c>
      <c r="BX83">
        <v>0</v>
      </c>
      <c r="BY83" t="s">
        <v>1482</v>
      </c>
      <c r="CA83" t="s">
        <v>1483</v>
      </c>
      <c r="CB83" t="s">
        <v>1484</v>
      </c>
      <c r="CC83" t="s">
        <v>1485</v>
      </c>
      <c r="CD83" t="s">
        <v>188</v>
      </c>
      <c r="CE83" t="s">
        <v>1486</v>
      </c>
      <c r="CF83" t="s">
        <v>1487</v>
      </c>
      <c r="CG83" t="s">
        <v>1488</v>
      </c>
      <c r="CI83" t="s">
        <v>1489</v>
      </c>
      <c r="CK83" t="s">
        <v>1490</v>
      </c>
      <c r="CL83" t="s">
        <v>1491</v>
      </c>
      <c r="CM83" t="s">
        <v>1492</v>
      </c>
      <c r="CN83" t="s">
        <v>1493</v>
      </c>
      <c r="CO83" t="s">
        <v>674</v>
      </c>
      <c r="CP83" t="s">
        <v>188</v>
      </c>
      <c r="CQ83" t="s">
        <v>188</v>
      </c>
      <c r="CR83">
        <v>0</v>
      </c>
      <c r="CS83">
        <v>0</v>
      </c>
      <c r="CX83">
        <v>0</v>
      </c>
      <c r="CY83">
        <v>0</v>
      </c>
      <c r="CZ83">
        <v>0</v>
      </c>
      <c r="DA83">
        <v>0</v>
      </c>
      <c r="DC83">
        <v>0</v>
      </c>
      <c r="DD83">
        <v>0</v>
      </c>
      <c r="EW83" t="s">
        <v>188</v>
      </c>
      <c r="EX83" t="s">
        <v>188</v>
      </c>
      <c r="EY83" t="s">
        <v>188</v>
      </c>
      <c r="EZ83" t="s">
        <v>188</v>
      </c>
      <c r="FA83">
        <v>4</v>
      </c>
      <c r="FB83" t="s">
        <v>188</v>
      </c>
      <c r="FC83" t="s">
        <v>681</v>
      </c>
      <c r="FD83" t="s">
        <v>682</v>
      </c>
      <c r="FE83">
        <v>1.11111111111111E+19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 t="s">
        <v>188</v>
      </c>
      <c r="GF83" t="s">
        <v>188</v>
      </c>
      <c r="GG83" t="s">
        <v>188</v>
      </c>
      <c r="GH83" s="1">
        <v>45149</v>
      </c>
      <c r="GJ83" t="s">
        <v>610</v>
      </c>
      <c r="GK83" t="s">
        <v>610</v>
      </c>
      <c r="GL83">
        <v>0</v>
      </c>
      <c r="GM83">
        <v>0</v>
      </c>
      <c r="GN83">
        <v>455</v>
      </c>
      <c r="GO83">
        <v>203</v>
      </c>
      <c r="GP83">
        <v>0</v>
      </c>
      <c r="GR83" s="1">
        <v>45152</v>
      </c>
      <c r="GV83" t="s">
        <v>188</v>
      </c>
      <c r="GW83" t="s">
        <v>188</v>
      </c>
      <c r="GX83" t="s">
        <v>188</v>
      </c>
      <c r="GY83" t="s">
        <v>188</v>
      </c>
      <c r="GZ83" t="s">
        <v>188</v>
      </c>
      <c r="HA83" t="s">
        <v>188</v>
      </c>
      <c r="HB83" t="s">
        <v>188</v>
      </c>
      <c r="HC83" t="s">
        <v>188</v>
      </c>
      <c r="HD83" t="s">
        <v>188</v>
      </c>
      <c r="HE83" t="s">
        <v>188</v>
      </c>
      <c r="HH83">
        <v>0</v>
      </c>
      <c r="HI83">
        <v>0</v>
      </c>
      <c r="HJ83">
        <v>58.73</v>
      </c>
      <c r="HK83">
        <v>49.57</v>
      </c>
      <c r="HL83">
        <v>107.61</v>
      </c>
      <c r="HN83" t="s">
        <v>188</v>
      </c>
      <c r="IS83">
        <v>0</v>
      </c>
      <c r="IT83">
        <v>0</v>
      </c>
      <c r="IU83">
        <v>0</v>
      </c>
      <c r="IV83">
        <v>0</v>
      </c>
      <c r="IW83">
        <v>0</v>
      </c>
      <c r="IX83" t="s">
        <v>1494</v>
      </c>
      <c r="IY83">
        <v>0</v>
      </c>
      <c r="IZ83">
        <v>0</v>
      </c>
      <c r="JA83">
        <v>0</v>
      </c>
      <c r="JB83">
        <v>0</v>
      </c>
      <c r="JC83" t="s">
        <v>613</v>
      </c>
      <c r="JD83" t="s">
        <v>1495</v>
      </c>
      <c r="JE83" t="s">
        <v>1496</v>
      </c>
      <c r="JF83">
        <v>0</v>
      </c>
      <c r="JG83" t="s">
        <v>1717</v>
      </c>
      <c r="JH83" t="s">
        <v>188</v>
      </c>
      <c r="JI83">
        <v>0</v>
      </c>
      <c r="JJ83" t="s">
        <v>188</v>
      </c>
      <c r="JK83">
        <v>117.39</v>
      </c>
      <c r="JL83">
        <v>7</v>
      </c>
      <c r="JM83">
        <v>3</v>
      </c>
    </row>
    <row r="84" spans="1:273" x14ac:dyDescent="0.3">
      <c r="A84" t="s">
        <v>1718</v>
      </c>
      <c r="B84" t="s">
        <v>302</v>
      </c>
      <c r="C84" t="s">
        <v>340</v>
      </c>
      <c r="D84" t="s">
        <v>657</v>
      </c>
      <c r="E84" t="s">
        <v>1114</v>
      </c>
      <c r="F84" t="s">
        <v>592</v>
      </c>
      <c r="G84">
        <v>5</v>
      </c>
      <c r="H84" t="s">
        <v>1719</v>
      </c>
      <c r="I84" t="s">
        <v>594</v>
      </c>
      <c r="J84" t="s">
        <v>993</v>
      </c>
      <c r="L84" t="s">
        <v>658</v>
      </c>
      <c r="M84" t="s">
        <v>1720</v>
      </c>
      <c r="N84">
        <v>1</v>
      </c>
      <c r="O84">
        <v>1</v>
      </c>
      <c r="P84">
        <v>1</v>
      </c>
      <c r="Q84">
        <v>9</v>
      </c>
      <c r="R84">
        <v>2</v>
      </c>
      <c r="S84">
        <v>0</v>
      </c>
      <c r="T84">
        <v>0</v>
      </c>
      <c r="U84">
        <v>0</v>
      </c>
      <c r="V84" t="s">
        <v>188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 t="s">
        <v>596</v>
      </c>
      <c r="AI84">
        <v>1</v>
      </c>
      <c r="AJ84" t="s">
        <v>199</v>
      </c>
      <c r="AK84">
        <v>1</v>
      </c>
      <c r="AL84">
        <v>25</v>
      </c>
      <c r="AM84">
        <v>285</v>
      </c>
      <c r="AN84">
        <v>0</v>
      </c>
      <c r="AO84">
        <v>0</v>
      </c>
      <c r="AP84">
        <v>0</v>
      </c>
      <c r="AQ84">
        <v>225</v>
      </c>
      <c r="AR84">
        <v>80</v>
      </c>
      <c r="AS84">
        <v>61</v>
      </c>
      <c r="AT84">
        <v>71.97</v>
      </c>
      <c r="AU84">
        <v>0</v>
      </c>
      <c r="AV84">
        <v>0</v>
      </c>
      <c r="AW84">
        <v>241.27</v>
      </c>
      <c r="AX84">
        <v>67.790000000000006</v>
      </c>
      <c r="AY84">
        <v>222.8</v>
      </c>
      <c r="AZ84">
        <v>10.97</v>
      </c>
      <c r="BA84">
        <v>80</v>
      </c>
      <c r="BB84">
        <v>0</v>
      </c>
      <c r="BC84">
        <v>27</v>
      </c>
      <c r="BD84">
        <v>106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500</v>
      </c>
      <c r="BN84">
        <v>1300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1300</v>
      </c>
      <c r="BV84">
        <v>510</v>
      </c>
      <c r="BW84" t="s">
        <v>188</v>
      </c>
      <c r="BX84">
        <v>0</v>
      </c>
      <c r="BY84" t="s">
        <v>1720</v>
      </c>
      <c r="CA84">
        <v>1300</v>
      </c>
      <c r="CB84">
        <v>80</v>
      </c>
      <c r="CC84">
        <v>285</v>
      </c>
      <c r="CD84" t="s">
        <v>188</v>
      </c>
      <c r="CE84" t="s">
        <v>1721</v>
      </c>
      <c r="CF84" t="s">
        <v>1722</v>
      </c>
      <c r="CG84" t="s">
        <v>1723</v>
      </c>
      <c r="CI84" t="s">
        <v>1724</v>
      </c>
      <c r="CK84">
        <v>25</v>
      </c>
      <c r="CL84" t="s">
        <v>1725</v>
      </c>
      <c r="CM84" t="s">
        <v>1726</v>
      </c>
      <c r="CN84" t="s">
        <v>1727</v>
      </c>
      <c r="CO84">
        <v>0</v>
      </c>
      <c r="CP84" t="s">
        <v>188</v>
      </c>
      <c r="CQ84" t="s">
        <v>188</v>
      </c>
      <c r="CR84">
        <v>63</v>
      </c>
      <c r="CS84">
        <v>0</v>
      </c>
      <c r="CT84" t="s">
        <v>1728</v>
      </c>
      <c r="CX84">
        <v>0</v>
      </c>
      <c r="CY84">
        <v>2100</v>
      </c>
      <c r="CZ84">
        <v>0</v>
      </c>
      <c r="DA84">
        <v>0</v>
      </c>
      <c r="DB84" t="s">
        <v>1729</v>
      </c>
      <c r="DC84">
        <v>0</v>
      </c>
      <c r="DD84">
        <v>0</v>
      </c>
      <c r="DI84" t="s">
        <v>1730</v>
      </c>
      <c r="DJ84" t="s">
        <v>1731</v>
      </c>
      <c r="DK84">
        <v>150</v>
      </c>
      <c r="DQ84" t="s">
        <v>773</v>
      </c>
      <c r="DR84">
        <v>260</v>
      </c>
      <c r="DS84" t="s">
        <v>1046</v>
      </c>
      <c r="DT84">
        <v>425</v>
      </c>
      <c r="EW84" t="s">
        <v>188</v>
      </c>
      <c r="EX84" t="s">
        <v>188</v>
      </c>
      <c r="EY84" t="s">
        <v>188</v>
      </c>
      <c r="EZ84" t="s">
        <v>188</v>
      </c>
      <c r="FA84">
        <v>4</v>
      </c>
      <c r="FB84" t="s">
        <v>188</v>
      </c>
      <c r="FE84">
        <v>1.1111111111111099E+23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 t="s">
        <v>188</v>
      </c>
      <c r="GF84" t="s">
        <v>188</v>
      </c>
      <c r="GG84" t="s">
        <v>188</v>
      </c>
      <c r="GH84" s="1">
        <v>44648</v>
      </c>
      <c r="GI84" t="s">
        <v>608</v>
      </c>
      <c r="GJ84" t="s">
        <v>609</v>
      </c>
      <c r="GK84" t="s">
        <v>812</v>
      </c>
      <c r="GL84">
        <v>0</v>
      </c>
      <c r="GM84">
        <v>0</v>
      </c>
      <c r="GN84">
        <v>203.2</v>
      </c>
      <c r="GO84">
        <v>152.4</v>
      </c>
      <c r="GP84">
        <v>0</v>
      </c>
      <c r="GQ84" t="s">
        <v>611</v>
      </c>
      <c r="GR84" s="1">
        <v>45774</v>
      </c>
      <c r="GV84" t="s">
        <v>188</v>
      </c>
      <c r="GW84" t="s">
        <v>188</v>
      </c>
      <c r="GX84" t="s">
        <v>188</v>
      </c>
      <c r="GY84" t="s">
        <v>188</v>
      </c>
      <c r="GZ84" t="s">
        <v>188</v>
      </c>
      <c r="HA84" t="s">
        <v>188</v>
      </c>
      <c r="HB84" t="s">
        <v>188</v>
      </c>
      <c r="HC84" t="s">
        <v>188</v>
      </c>
      <c r="HD84" t="s">
        <v>188</v>
      </c>
      <c r="HE84" t="s">
        <v>188</v>
      </c>
      <c r="HH84">
        <v>0</v>
      </c>
      <c r="HI84">
        <v>0</v>
      </c>
      <c r="HJ84">
        <v>81.25</v>
      </c>
      <c r="HK84">
        <v>60.25</v>
      </c>
      <c r="HL84">
        <v>246.11</v>
      </c>
      <c r="HN84" t="s">
        <v>188</v>
      </c>
      <c r="IS84">
        <v>0</v>
      </c>
      <c r="IT84">
        <v>0</v>
      </c>
      <c r="IU84">
        <v>0</v>
      </c>
      <c r="IV84">
        <v>0</v>
      </c>
      <c r="IW84">
        <v>0</v>
      </c>
      <c r="IX84" t="s">
        <v>1732</v>
      </c>
      <c r="IY84">
        <v>0</v>
      </c>
      <c r="IZ84">
        <v>0</v>
      </c>
      <c r="JA84">
        <v>0</v>
      </c>
      <c r="JB84">
        <v>0</v>
      </c>
      <c r="JC84" t="s">
        <v>613</v>
      </c>
      <c r="JD84" t="s">
        <v>1733</v>
      </c>
      <c r="JE84" t="s">
        <v>791</v>
      </c>
      <c r="JF84">
        <v>0</v>
      </c>
      <c r="JH84" t="s">
        <v>188</v>
      </c>
      <c r="JI84">
        <v>0</v>
      </c>
      <c r="JJ84" t="s">
        <v>188</v>
      </c>
      <c r="JK84">
        <v>243.49</v>
      </c>
      <c r="JL84">
        <v>0</v>
      </c>
      <c r="JM84">
        <v>1</v>
      </c>
    </row>
    <row r="85" spans="1:273" x14ac:dyDescent="0.3">
      <c r="A85" t="s">
        <v>1734</v>
      </c>
      <c r="B85" t="s">
        <v>302</v>
      </c>
      <c r="C85" t="s">
        <v>340</v>
      </c>
      <c r="D85" t="s">
        <v>657</v>
      </c>
      <c r="E85" t="s">
        <v>1114</v>
      </c>
      <c r="F85" t="s">
        <v>592</v>
      </c>
      <c r="G85">
        <v>6</v>
      </c>
      <c r="H85" t="s">
        <v>1735</v>
      </c>
      <c r="I85" t="s">
        <v>594</v>
      </c>
      <c r="J85" t="s">
        <v>993</v>
      </c>
      <c r="L85" t="s">
        <v>658</v>
      </c>
      <c r="M85" t="s">
        <v>1720</v>
      </c>
      <c r="N85">
        <v>1</v>
      </c>
      <c r="O85">
        <v>1</v>
      </c>
      <c r="P85">
        <v>1</v>
      </c>
      <c r="Q85">
        <v>7</v>
      </c>
      <c r="R85">
        <v>2</v>
      </c>
      <c r="S85">
        <v>0</v>
      </c>
      <c r="T85">
        <v>0</v>
      </c>
      <c r="U85">
        <v>0</v>
      </c>
      <c r="V85" t="s">
        <v>188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 t="s">
        <v>596</v>
      </c>
      <c r="AI85">
        <v>1</v>
      </c>
      <c r="AJ85" t="s">
        <v>199</v>
      </c>
      <c r="AK85">
        <v>1</v>
      </c>
      <c r="AL85">
        <v>58.6</v>
      </c>
      <c r="AM85">
        <v>350.2</v>
      </c>
      <c r="AN85">
        <v>0</v>
      </c>
      <c r="AO85">
        <v>0</v>
      </c>
      <c r="AP85">
        <v>0</v>
      </c>
      <c r="AQ85">
        <v>225</v>
      </c>
      <c r="AR85">
        <v>90.6</v>
      </c>
      <c r="AS85">
        <v>56.5</v>
      </c>
      <c r="AT85">
        <v>75.13</v>
      </c>
      <c r="AU85">
        <v>0</v>
      </c>
      <c r="AV85">
        <v>0</v>
      </c>
      <c r="AW85">
        <v>278.2</v>
      </c>
      <c r="AX85">
        <v>70.97</v>
      </c>
      <c r="AY85">
        <v>257.64999999999998</v>
      </c>
      <c r="AZ85">
        <v>12.84</v>
      </c>
      <c r="BA85">
        <v>90.6</v>
      </c>
      <c r="BB85">
        <v>0</v>
      </c>
      <c r="BC85">
        <v>28</v>
      </c>
      <c r="BD85">
        <v>101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500</v>
      </c>
      <c r="BN85">
        <v>1300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1300</v>
      </c>
      <c r="BV85">
        <v>545</v>
      </c>
      <c r="BW85" t="s">
        <v>188</v>
      </c>
      <c r="BX85">
        <v>0</v>
      </c>
      <c r="BY85" t="s">
        <v>1734</v>
      </c>
      <c r="CA85">
        <v>1300</v>
      </c>
      <c r="CB85">
        <v>90.6</v>
      </c>
      <c r="CC85">
        <v>350.2</v>
      </c>
      <c r="CD85" t="s">
        <v>188</v>
      </c>
      <c r="CE85" t="s">
        <v>1736</v>
      </c>
      <c r="CF85" t="s">
        <v>1737</v>
      </c>
      <c r="CG85" t="s">
        <v>1738</v>
      </c>
      <c r="CI85" t="s">
        <v>1739</v>
      </c>
      <c r="CK85">
        <v>25</v>
      </c>
      <c r="CL85" t="s">
        <v>1740</v>
      </c>
      <c r="CM85" t="s">
        <v>1741</v>
      </c>
      <c r="CN85" t="s">
        <v>1742</v>
      </c>
      <c r="CO85">
        <v>0</v>
      </c>
      <c r="CP85" t="s">
        <v>188</v>
      </c>
      <c r="CQ85" t="s">
        <v>188</v>
      </c>
      <c r="CR85">
        <v>50</v>
      </c>
      <c r="CS85">
        <v>0</v>
      </c>
      <c r="CX85">
        <v>0</v>
      </c>
      <c r="CY85">
        <v>2100</v>
      </c>
      <c r="CZ85">
        <v>0</v>
      </c>
      <c r="DA85">
        <v>0</v>
      </c>
      <c r="DB85" t="s">
        <v>1743</v>
      </c>
      <c r="DC85">
        <v>0</v>
      </c>
      <c r="DD85">
        <v>0</v>
      </c>
      <c r="DI85" t="s">
        <v>1730</v>
      </c>
      <c r="DJ85" t="s">
        <v>1731</v>
      </c>
      <c r="DK85">
        <v>150</v>
      </c>
      <c r="DQ85" t="s">
        <v>755</v>
      </c>
      <c r="DR85">
        <v>120</v>
      </c>
      <c r="DS85" t="s">
        <v>1087</v>
      </c>
      <c r="DT85">
        <v>225</v>
      </c>
      <c r="DU85" t="s">
        <v>773</v>
      </c>
      <c r="DV85">
        <v>260</v>
      </c>
      <c r="DW85" t="s">
        <v>1046</v>
      </c>
      <c r="DX85">
        <v>425</v>
      </c>
      <c r="EW85" t="s">
        <v>188</v>
      </c>
      <c r="EX85" t="s">
        <v>188</v>
      </c>
      <c r="EY85" t="s">
        <v>188</v>
      </c>
      <c r="EZ85" t="s">
        <v>188</v>
      </c>
      <c r="FA85">
        <v>4</v>
      </c>
      <c r="FB85" t="s">
        <v>188</v>
      </c>
      <c r="FC85" t="s">
        <v>681</v>
      </c>
      <c r="FD85" t="s">
        <v>682</v>
      </c>
      <c r="FE85">
        <v>1.1111111111111101E+31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 t="s">
        <v>188</v>
      </c>
      <c r="GF85" t="s">
        <v>188</v>
      </c>
      <c r="GG85" t="s">
        <v>188</v>
      </c>
      <c r="GH85" s="1">
        <v>45774</v>
      </c>
      <c r="GI85" t="s">
        <v>608</v>
      </c>
      <c r="GJ85" t="s">
        <v>812</v>
      </c>
      <c r="GK85" t="s">
        <v>812</v>
      </c>
      <c r="GL85">
        <v>0</v>
      </c>
      <c r="GM85">
        <v>0</v>
      </c>
      <c r="GN85">
        <v>203.2</v>
      </c>
      <c r="GO85">
        <v>152.4</v>
      </c>
      <c r="GP85">
        <v>0</v>
      </c>
      <c r="GR85" s="1">
        <v>45783</v>
      </c>
      <c r="GV85" t="s">
        <v>188</v>
      </c>
      <c r="GW85" t="s">
        <v>188</v>
      </c>
      <c r="GX85" t="s">
        <v>188</v>
      </c>
      <c r="GY85" t="s">
        <v>188</v>
      </c>
      <c r="GZ85" t="s">
        <v>188</v>
      </c>
      <c r="HA85" t="s">
        <v>188</v>
      </c>
      <c r="HB85" t="s">
        <v>188</v>
      </c>
      <c r="HC85" t="s">
        <v>188</v>
      </c>
      <c r="HD85" t="s">
        <v>188</v>
      </c>
      <c r="HE85" t="s">
        <v>188</v>
      </c>
      <c r="HH85">
        <v>0</v>
      </c>
      <c r="HI85">
        <v>0</v>
      </c>
      <c r="HJ85">
        <v>89.77</v>
      </c>
      <c r="HK85">
        <v>60.29</v>
      </c>
      <c r="HL85">
        <v>272.54000000000002</v>
      </c>
      <c r="HN85" t="s">
        <v>188</v>
      </c>
      <c r="IS85">
        <v>0</v>
      </c>
      <c r="IT85">
        <v>0</v>
      </c>
      <c r="IU85">
        <v>0</v>
      </c>
      <c r="IV85">
        <v>0</v>
      </c>
      <c r="IW85">
        <v>0</v>
      </c>
      <c r="IX85" t="s">
        <v>1064</v>
      </c>
      <c r="IY85">
        <v>0</v>
      </c>
      <c r="IZ85">
        <v>0</v>
      </c>
      <c r="JA85">
        <v>0</v>
      </c>
      <c r="JB85">
        <v>0</v>
      </c>
      <c r="JC85" t="s">
        <v>613</v>
      </c>
      <c r="JD85" t="s">
        <v>1744</v>
      </c>
      <c r="JE85" t="s">
        <v>1745</v>
      </c>
      <c r="JF85">
        <v>2</v>
      </c>
      <c r="JG85" t="s">
        <v>1746</v>
      </c>
      <c r="JH85" t="s">
        <v>188</v>
      </c>
      <c r="JI85">
        <v>0</v>
      </c>
      <c r="JJ85">
        <v>0</v>
      </c>
      <c r="JK85">
        <v>277.12</v>
      </c>
      <c r="JL85">
        <v>0</v>
      </c>
      <c r="JM85">
        <v>1</v>
      </c>
    </row>
    <row r="86" spans="1:273" x14ac:dyDescent="0.3">
      <c r="A86" t="s">
        <v>1747</v>
      </c>
      <c r="B86" t="s">
        <v>302</v>
      </c>
      <c r="C86" t="s">
        <v>340</v>
      </c>
      <c r="D86" t="s">
        <v>657</v>
      </c>
      <c r="E86" t="s">
        <v>1114</v>
      </c>
      <c r="F86" t="s">
        <v>659</v>
      </c>
      <c r="G86">
        <v>5</v>
      </c>
      <c r="H86" t="s">
        <v>1748</v>
      </c>
      <c r="I86" t="s">
        <v>594</v>
      </c>
      <c r="J86" t="s">
        <v>993</v>
      </c>
      <c r="L86" t="s">
        <v>658</v>
      </c>
      <c r="M86" t="s">
        <v>1749</v>
      </c>
      <c r="N86">
        <v>1</v>
      </c>
      <c r="O86">
        <v>1</v>
      </c>
      <c r="P86">
        <v>1</v>
      </c>
      <c r="Q86">
        <v>9</v>
      </c>
      <c r="R86">
        <v>2</v>
      </c>
      <c r="S86">
        <v>0</v>
      </c>
      <c r="T86">
        <v>0</v>
      </c>
      <c r="U86">
        <v>0</v>
      </c>
      <c r="V86" t="s">
        <v>188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 t="s">
        <v>596</v>
      </c>
      <c r="AI86">
        <v>1</v>
      </c>
      <c r="AJ86" t="s">
        <v>199</v>
      </c>
      <c r="AK86">
        <v>1</v>
      </c>
      <c r="AL86">
        <v>42</v>
      </c>
      <c r="AM86">
        <v>262</v>
      </c>
      <c r="AN86">
        <v>0</v>
      </c>
      <c r="AO86">
        <v>0</v>
      </c>
      <c r="AP86">
        <v>0</v>
      </c>
      <c r="AQ86">
        <v>425</v>
      </c>
      <c r="AR86">
        <v>52</v>
      </c>
      <c r="AS86">
        <v>36</v>
      </c>
      <c r="AT86">
        <v>71.34</v>
      </c>
      <c r="AU86">
        <v>0</v>
      </c>
      <c r="AV86">
        <v>0</v>
      </c>
      <c r="AW86">
        <v>200.33</v>
      </c>
      <c r="AX86">
        <v>42.26</v>
      </c>
      <c r="AY86">
        <v>116.35</v>
      </c>
      <c r="AZ86">
        <v>10.51</v>
      </c>
      <c r="BA86">
        <v>52</v>
      </c>
      <c r="BB86">
        <v>0</v>
      </c>
      <c r="BC86">
        <v>27</v>
      </c>
      <c r="BD86">
        <v>77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400</v>
      </c>
      <c r="BN86">
        <v>1000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1000</v>
      </c>
      <c r="BV86">
        <v>510</v>
      </c>
      <c r="BW86" t="s">
        <v>188</v>
      </c>
      <c r="BX86">
        <v>0</v>
      </c>
      <c r="BY86" t="s">
        <v>1749</v>
      </c>
      <c r="CA86">
        <v>1000</v>
      </c>
      <c r="CB86">
        <v>52</v>
      </c>
      <c r="CC86">
        <v>262</v>
      </c>
      <c r="CD86" t="s">
        <v>188</v>
      </c>
      <c r="CE86" t="s">
        <v>1750</v>
      </c>
      <c r="CF86" t="s">
        <v>1688</v>
      </c>
      <c r="CG86" t="s">
        <v>1751</v>
      </c>
      <c r="CI86" t="s">
        <v>1752</v>
      </c>
      <c r="CK86">
        <v>25</v>
      </c>
      <c r="CL86" t="s">
        <v>1753</v>
      </c>
      <c r="CM86" t="s">
        <v>1754</v>
      </c>
      <c r="CN86" t="s">
        <v>1755</v>
      </c>
      <c r="CO86">
        <v>0</v>
      </c>
      <c r="CP86" t="s">
        <v>188</v>
      </c>
      <c r="CQ86" t="s">
        <v>188</v>
      </c>
      <c r="CR86">
        <v>59</v>
      </c>
      <c r="CS86">
        <v>0</v>
      </c>
      <c r="CT86" t="s">
        <v>1728</v>
      </c>
      <c r="CX86">
        <v>0</v>
      </c>
      <c r="CY86">
        <v>2100</v>
      </c>
      <c r="CZ86">
        <v>0</v>
      </c>
      <c r="DA86">
        <v>0</v>
      </c>
      <c r="DB86" t="s">
        <v>1756</v>
      </c>
      <c r="DC86">
        <v>0</v>
      </c>
      <c r="DD86">
        <v>0</v>
      </c>
      <c r="DI86" t="s">
        <v>1730</v>
      </c>
      <c r="DJ86" t="s">
        <v>1757</v>
      </c>
      <c r="DK86">
        <v>150</v>
      </c>
      <c r="DQ86" t="s">
        <v>773</v>
      </c>
      <c r="DR86">
        <v>260</v>
      </c>
      <c r="DS86" t="s">
        <v>1046</v>
      </c>
      <c r="DT86">
        <v>425</v>
      </c>
      <c r="EW86" t="s">
        <v>188</v>
      </c>
      <c r="EX86" t="s">
        <v>188</v>
      </c>
      <c r="EY86" t="s">
        <v>188</v>
      </c>
      <c r="EZ86" t="s">
        <v>188</v>
      </c>
      <c r="FA86">
        <v>4</v>
      </c>
      <c r="FB86" t="s">
        <v>188</v>
      </c>
      <c r="FE86">
        <v>1.11111111111111E+27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 t="s">
        <v>188</v>
      </c>
      <c r="GF86" t="s">
        <v>188</v>
      </c>
      <c r="GG86" t="s">
        <v>188</v>
      </c>
      <c r="GH86" s="1">
        <v>44648</v>
      </c>
      <c r="GI86" t="s">
        <v>608</v>
      </c>
      <c r="GJ86" t="s">
        <v>609</v>
      </c>
      <c r="GK86" t="s">
        <v>610</v>
      </c>
      <c r="GL86">
        <v>0</v>
      </c>
      <c r="GM86">
        <v>0</v>
      </c>
      <c r="GN86">
        <v>203.2</v>
      </c>
      <c r="GO86">
        <v>152.4</v>
      </c>
      <c r="GP86">
        <v>0</v>
      </c>
      <c r="GQ86" t="s">
        <v>611</v>
      </c>
      <c r="GR86" s="1">
        <v>44869</v>
      </c>
      <c r="GV86" t="s">
        <v>188</v>
      </c>
      <c r="GW86" t="s">
        <v>188</v>
      </c>
      <c r="GX86" t="s">
        <v>188</v>
      </c>
      <c r="GY86" t="s">
        <v>188</v>
      </c>
      <c r="GZ86" t="s">
        <v>188</v>
      </c>
      <c r="HA86" t="s">
        <v>188</v>
      </c>
      <c r="HB86" t="s">
        <v>188</v>
      </c>
      <c r="HC86" t="s">
        <v>188</v>
      </c>
      <c r="HD86" t="s">
        <v>188</v>
      </c>
      <c r="HE86" t="s">
        <v>188</v>
      </c>
      <c r="HH86">
        <v>0</v>
      </c>
      <c r="HI86">
        <v>0</v>
      </c>
      <c r="HJ86">
        <v>51.67</v>
      </c>
      <c r="HK86">
        <v>38.35</v>
      </c>
      <c r="HL86">
        <v>130.88</v>
      </c>
      <c r="HN86" t="s">
        <v>188</v>
      </c>
      <c r="IS86">
        <v>0</v>
      </c>
      <c r="IT86">
        <v>0</v>
      </c>
      <c r="IU86">
        <v>0</v>
      </c>
      <c r="IV86">
        <v>0</v>
      </c>
      <c r="IW86">
        <v>0</v>
      </c>
      <c r="IX86" t="s">
        <v>1696</v>
      </c>
      <c r="IY86">
        <v>0</v>
      </c>
      <c r="IZ86">
        <v>0</v>
      </c>
      <c r="JA86">
        <v>0</v>
      </c>
      <c r="JB86">
        <v>0</v>
      </c>
      <c r="JC86" t="s">
        <v>613</v>
      </c>
      <c r="JD86" t="s">
        <v>1758</v>
      </c>
      <c r="JE86" t="s">
        <v>791</v>
      </c>
      <c r="JF86">
        <v>0</v>
      </c>
      <c r="JH86" t="s">
        <v>188</v>
      </c>
      <c r="JI86">
        <v>0</v>
      </c>
      <c r="JJ86" t="s">
        <v>188</v>
      </c>
      <c r="JK86">
        <v>142.26</v>
      </c>
      <c r="JL86">
        <v>0</v>
      </c>
      <c r="JM86">
        <v>1</v>
      </c>
    </row>
    <row r="87" spans="1:273" x14ac:dyDescent="0.3">
      <c r="A87" t="s">
        <v>1759</v>
      </c>
      <c r="B87" t="s">
        <v>302</v>
      </c>
      <c r="C87" t="s">
        <v>340</v>
      </c>
      <c r="D87" t="s">
        <v>657</v>
      </c>
      <c r="E87" t="s">
        <v>1114</v>
      </c>
      <c r="F87" t="s">
        <v>592</v>
      </c>
      <c r="G87">
        <v>5</v>
      </c>
      <c r="H87" t="s">
        <v>1719</v>
      </c>
      <c r="I87" t="s">
        <v>594</v>
      </c>
      <c r="J87" t="s">
        <v>993</v>
      </c>
      <c r="L87" t="s">
        <v>658</v>
      </c>
      <c r="M87" t="s">
        <v>1720</v>
      </c>
      <c r="N87">
        <v>1</v>
      </c>
      <c r="O87">
        <v>1</v>
      </c>
      <c r="P87">
        <v>1</v>
      </c>
      <c r="Q87">
        <v>9</v>
      </c>
      <c r="R87">
        <v>2</v>
      </c>
      <c r="S87">
        <v>0</v>
      </c>
      <c r="T87">
        <v>0</v>
      </c>
      <c r="U87">
        <v>0</v>
      </c>
      <c r="V87" t="s">
        <v>188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 t="s">
        <v>596</v>
      </c>
      <c r="AI87">
        <v>1</v>
      </c>
      <c r="AJ87" t="s">
        <v>199</v>
      </c>
      <c r="AK87">
        <v>1</v>
      </c>
      <c r="AL87">
        <v>25</v>
      </c>
      <c r="AM87">
        <v>285</v>
      </c>
      <c r="AN87">
        <v>0</v>
      </c>
      <c r="AO87">
        <v>0</v>
      </c>
      <c r="AP87">
        <v>0</v>
      </c>
      <c r="AQ87">
        <v>225</v>
      </c>
      <c r="AR87">
        <v>80</v>
      </c>
      <c r="AS87">
        <v>61</v>
      </c>
      <c r="AT87">
        <v>71.97</v>
      </c>
      <c r="AU87">
        <v>0</v>
      </c>
      <c r="AV87">
        <v>0</v>
      </c>
      <c r="AW87">
        <v>241.27</v>
      </c>
      <c r="AX87">
        <v>67.790000000000006</v>
      </c>
      <c r="AY87">
        <v>222.8</v>
      </c>
      <c r="AZ87">
        <v>10.97</v>
      </c>
      <c r="BA87">
        <v>80</v>
      </c>
      <c r="BB87">
        <v>0</v>
      </c>
      <c r="BC87">
        <v>27</v>
      </c>
      <c r="BD87">
        <v>106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500</v>
      </c>
      <c r="BN87">
        <v>1300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1300</v>
      </c>
      <c r="BV87">
        <v>510</v>
      </c>
      <c r="BW87" t="s">
        <v>188</v>
      </c>
      <c r="BX87">
        <v>0</v>
      </c>
      <c r="BY87" t="s">
        <v>1720</v>
      </c>
      <c r="CA87">
        <v>1300</v>
      </c>
      <c r="CB87">
        <v>80</v>
      </c>
      <c r="CC87">
        <v>285</v>
      </c>
      <c r="CD87" t="s">
        <v>188</v>
      </c>
      <c r="CE87" t="s">
        <v>1721</v>
      </c>
      <c r="CF87" t="s">
        <v>1722</v>
      </c>
      <c r="CG87" t="s">
        <v>1723</v>
      </c>
      <c r="CI87" t="s">
        <v>1724</v>
      </c>
      <c r="CK87">
        <v>25</v>
      </c>
      <c r="CL87" t="s">
        <v>1725</v>
      </c>
      <c r="CM87" t="s">
        <v>1726</v>
      </c>
      <c r="CN87" t="s">
        <v>1727</v>
      </c>
      <c r="CO87">
        <v>0</v>
      </c>
      <c r="CP87" t="s">
        <v>188</v>
      </c>
      <c r="CQ87" t="s">
        <v>188</v>
      </c>
      <c r="CR87">
        <v>63</v>
      </c>
      <c r="CS87">
        <v>0</v>
      </c>
      <c r="CT87" t="s">
        <v>1728</v>
      </c>
      <c r="CX87">
        <v>0</v>
      </c>
      <c r="CY87">
        <v>2100</v>
      </c>
      <c r="CZ87">
        <v>0</v>
      </c>
      <c r="DA87">
        <v>0</v>
      </c>
      <c r="DB87" t="s">
        <v>1729</v>
      </c>
      <c r="DC87">
        <v>0</v>
      </c>
      <c r="DD87">
        <v>0</v>
      </c>
      <c r="DI87" t="s">
        <v>1730</v>
      </c>
      <c r="DJ87" t="s">
        <v>1731</v>
      </c>
      <c r="DK87">
        <v>150</v>
      </c>
      <c r="DQ87" t="s">
        <v>1338</v>
      </c>
      <c r="DR87">
        <v>110</v>
      </c>
      <c r="DS87" t="s">
        <v>1339</v>
      </c>
      <c r="DT87">
        <v>225</v>
      </c>
      <c r="EW87" t="s">
        <v>188</v>
      </c>
      <c r="EX87" t="s">
        <v>188</v>
      </c>
      <c r="EY87" t="s">
        <v>188</v>
      </c>
      <c r="EZ87" t="s">
        <v>188</v>
      </c>
      <c r="FA87">
        <v>4</v>
      </c>
      <c r="FB87" t="s">
        <v>188</v>
      </c>
      <c r="FE87">
        <v>1111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 t="s">
        <v>188</v>
      </c>
      <c r="GF87" t="s">
        <v>188</v>
      </c>
      <c r="GG87" t="s">
        <v>188</v>
      </c>
      <c r="GH87" s="1">
        <v>44648</v>
      </c>
      <c r="GI87" t="s">
        <v>608</v>
      </c>
      <c r="GJ87" t="s">
        <v>609</v>
      </c>
      <c r="GK87" t="s">
        <v>610</v>
      </c>
      <c r="GL87">
        <v>0</v>
      </c>
      <c r="GM87">
        <v>0</v>
      </c>
      <c r="GN87">
        <v>203.2</v>
      </c>
      <c r="GO87">
        <v>152.4</v>
      </c>
      <c r="GP87">
        <v>0</v>
      </c>
      <c r="GQ87" t="s">
        <v>611</v>
      </c>
      <c r="GR87" s="1">
        <v>45176</v>
      </c>
      <c r="GV87" t="s">
        <v>188</v>
      </c>
      <c r="GW87" t="s">
        <v>188</v>
      </c>
      <c r="GX87" t="s">
        <v>188</v>
      </c>
      <c r="GY87" t="s">
        <v>188</v>
      </c>
      <c r="GZ87" t="s">
        <v>188</v>
      </c>
      <c r="HA87" t="s">
        <v>188</v>
      </c>
      <c r="HB87" t="s">
        <v>188</v>
      </c>
      <c r="HC87" t="s">
        <v>188</v>
      </c>
      <c r="HD87" t="s">
        <v>188</v>
      </c>
      <c r="HE87" t="s">
        <v>188</v>
      </c>
      <c r="HH87">
        <v>0</v>
      </c>
      <c r="HI87">
        <v>0</v>
      </c>
      <c r="HJ87">
        <v>81.25</v>
      </c>
      <c r="HK87">
        <v>60.25</v>
      </c>
      <c r="HL87">
        <v>246.11</v>
      </c>
      <c r="HN87" t="s">
        <v>188</v>
      </c>
      <c r="IS87">
        <v>0</v>
      </c>
      <c r="IT87">
        <v>0</v>
      </c>
      <c r="IU87">
        <v>0</v>
      </c>
      <c r="IV87">
        <v>0</v>
      </c>
      <c r="IW87">
        <v>0</v>
      </c>
      <c r="IX87" t="s">
        <v>1732</v>
      </c>
      <c r="IY87">
        <v>0</v>
      </c>
      <c r="IZ87">
        <v>0</v>
      </c>
      <c r="JA87">
        <v>0</v>
      </c>
      <c r="JB87">
        <v>0</v>
      </c>
      <c r="JC87" t="s">
        <v>613</v>
      </c>
      <c r="JD87" t="s">
        <v>1733</v>
      </c>
      <c r="JE87" t="s">
        <v>791</v>
      </c>
      <c r="JF87">
        <v>0</v>
      </c>
      <c r="JH87" t="s">
        <v>188</v>
      </c>
      <c r="JI87">
        <v>0</v>
      </c>
      <c r="JJ87" t="s">
        <v>188</v>
      </c>
      <c r="JK87">
        <v>243.49</v>
      </c>
      <c r="JL87">
        <v>0</v>
      </c>
      <c r="JM87">
        <v>1</v>
      </c>
    </row>
    <row r="88" spans="1:273" x14ac:dyDescent="0.3">
      <c r="A88" t="s">
        <v>1760</v>
      </c>
      <c r="B88" t="s">
        <v>302</v>
      </c>
      <c r="C88" t="s">
        <v>340</v>
      </c>
      <c r="D88" t="s">
        <v>657</v>
      </c>
      <c r="E88" t="s">
        <v>1114</v>
      </c>
      <c r="F88" t="s">
        <v>592</v>
      </c>
      <c r="G88">
        <v>5</v>
      </c>
      <c r="H88" t="s">
        <v>1719</v>
      </c>
      <c r="I88" t="s">
        <v>594</v>
      </c>
      <c r="J88" t="s">
        <v>993</v>
      </c>
      <c r="L88" t="s">
        <v>658</v>
      </c>
      <c r="M88" t="s">
        <v>1749</v>
      </c>
      <c r="N88">
        <v>1</v>
      </c>
      <c r="O88">
        <v>1</v>
      </c>
      <c r="P88">
        <v>1</v>
      </c>
      <c r="Q88">
        <v>9</v>
      </c>
      <c r="R88">
        <v>2</v>
      </c>
      <c r="S88">
        <v>0</v>
      </c>
      <c r="T88">
        <v>0</v>
      </c>
      <c r="U88">
        <v>0</v>
      </c>
      <c r="V88" t="s">
        <v>188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1</v>
      </c>
      <c r="AD88">
        <v>0</v>
      </c>
      <c r="AE88">
        <v>0</v>
      </c>
      <c r="AF88">
        <v>0</v>
      </c>
      <c r="AG88">
        <v>0</v>
      </c>
      <c r="AH88" t="s">
        <v>596</v>
      </c>
      <c r="AI88">
        <v>1</v>
      </c>
      <c r="AJ88" t="s">
        <v>199</v>
      </c>
      <c r="AK88">
        <v>1</v>
      </c>
      <c r="AL88">
        <v>42</v>
      </c>
      <c r="AM88">
        <v>262</v>
      </c>
      <c r="AN88">
        <v>0</v>
      </c>
      <c r="AO88">
        <v>0</v>
      </c>
      <c r="AP88">
        <v>0</v>
      </c>
      <c r="AQ88">
        <v>0</v>
      </c>
      <c r="AR88">
        <v>52</v>
      </c>
      <c r="AS88">
        <v>36</v>
      </c>
      <c r="AT88">
        <v>71.290000000000006</v>
      </c>
      <c r="AU88">
        <v>0</v>
      </c>
      <c r="AV88">
        <v>0</v>
      </c>
      <c r="AW88">
        <v>199.24</v>
      </c>
      <c r="AX88">
        <v>42.13</v>
      </c>
      <c r="AY88">
        <v>115.43</v>
      </c>
      <c r="AZ88">
        <v>10.09</v>
      </c>
      <c r="BA88">
        <v>52</v>
      </c>
      <c r="BB88">
        <v>0</v>
      </c>
      <c r="BC88">
        <v>27</v>
      </c>
      <c r="BD88">
        <v>79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400</v>
      </c>
      <c r="BN88">
        <v>1000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1000</v>
      </c>
      <c r="BV88">
        <v>510</v>
      </c>
      <c r="BW88" t="s">
        <v>188</v>
      </c>
      <c r="BX88">
        <v>0</v>
      </c>
      <c r="BY88" t="s">
        <v>1760</v>
      </c>
      <c r="CA88">
        <v>1000</v>
      </c>
      <c r="CB88">
        <v>52</v>
      </c>
      <c r="CC88">
        <v>262</v>
      </c>
      <c r="CD88" t="s">
        <v>188</v>
      </c>
      <c r="CE88" t="s">
        <v>1761</v>
      </c>
      <c r="CF88" t="s">
        <v>1688</v>
      </c>
      <c r="CG88" t="s">
        <v>1762</v>
      </c>
      <c r="CI88" t="s">
        <v>1763</v>
      </c>
      <c r="CK88">
        <v>25</v>
      </c>
      <c r="CL88" t="s">
        <v>1764</v>
      </c>
      <c r="CM88" t="s">
        <v>1765</v>
      </c>
      <c r="CN88" t="s">
        <v>1766</v>
      </c>
      <c r="CO88">
        <v>0</v>
      </c>
      <c r="CP88" t="s">
        <v>188</v>
      </c>
      <c r="CQ88" t="s">
        <v>188</v>
      </c>
      <c r="CR88">
        <v>59</v>
      </c>
      <c r="CS88">
        <v>0</v>
      </c>
      <c r="CX88">
        <v>0</v>
      </c>
      <c r="CY88">
        <v>2100</v>
      </c>
      <c r="CZ88">
        <v>0</v>
      </c>
      <c r="DA88">
        <v>0</v>
      </c>
      <c r="DB88" t="s">
        <v>1767</v>
      </c>
      <c r="DC88">
        <v>0</v>
      </c>
      <c r="DD88">
        <v>0</v>
      </c>
      <c r="DI88" t="s">
        <v>1730</v>
      </c>
      <c r="DJ88" t="s">
        <v>1757</v>
      </c>
      <c r="DK88">
        <v>150</v>
      </c>
      <c r="DQ88" t="s">
        <v>1338</v>
      </c>
      <c r="DR88">
        <v>120</v>
      </c>
      <c r="DS88" t="s">
        <v>1339</v>
      </c>
      <c r="DT88">
        <v>225</v>
      </c>
      <c r="EW88" t="s">
        <v>188</v>
      </c>
      <c r="EX88" t="s">
        <v>188</v>
      </c>
      <c r="EY88" t="s">
        <v>188</v>
      </c>
      <c r="EZ88" t="s">
        <v>188</v>
      </c>
      <c r="FA88">
        <v>4</v>
      </c>
      <c r="FB88" t="s">
        <v>188</v>
      </c>
      <c r="FC88" t="s">
        <v>681</v>
      </c>
      <c r="FD88" t="s">
        <v>682</v>
      </c>
      <c r="FE88">
        <v>1.11111111111111E+27</v>
      </c>
      <c r="FF88">
        <v>0</v>
      </c>
      <c r="FG88">
        <v>300</v>
      </c>
      <c r="FH88">
        <v>8</v>
      </c>
      <c r="FI88">
        <v>1</v>
      </c>
      <c r="FJ88">
        <v>5</v>
      </c>
      <c r="FK88">
        <v>0</v>
      </c>
      <c r="FL88">
        <v>60</v>
      </c>
      <c r="FM88">
        <v>7</v>
      </c>
      <c r="FN88">
        <v>1</v>
      </c>
      <c r="FO88">
        <v>5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20</v>
      </c>
      <c r="GB88">
        <v>5</v>
      </c>
      <c r="GC88">
        <v>4</v>
      </c>
      <c r="GD88">
        <v>2</v>
      </c>
      <c r="GE88" t="s">
        <v>188</v>
      </c>
      <c r="GF88" t="s">
        <v>188</v>
      </c>
      <c r="GG88" t="s">
        <v>188</v>
      </c>
      <c r="GH88" s="1">
        <v>44872</v>
      </c>
      <c r="GI88" t="s">
        <v>608</v>
      </c>
      <c r="GJ88" t="s">
        <v>609</v>
      </c>
      <c r="GK88" t="s">
        <v>610</v>
      </c>
      <c r="GL88">
        <v>0</v>
      </c>
      <c r="GM88">
        <v>0</v>
      </c>
      <c r="GN88">
        <v>203.2</v>
      </c>
      <c r="GO88">
        <v>152.4</v>
      </c>
      <c r="GP88">
        <v>0</v>
      </c>
      <c r="GR88" s="1">
        <v>44970</v>
      </c>
      <c r="GV88" t="s">
        <v>188</v>
      </c>
      <c r="GW88" t="s">
        <v>188</v>
      </c>
      <c r="GX88" t="s">
        <v>188</v>
      </c>
      <c r="GY88" t="s">
        <v>188</v>
      </c>
      <c r="GZ88" t="s">
        <v>188</v>
      </c>
      <c r="HA88" t="s">
        <v>188</v>
      </c>
      <c r="HB88" t="s">
        <v>188</v>
      </c>
      <c r="HC88" t="s">
        <v>188</v>
      </c>
      <c r="HD88" t="s">
        <v>188</v>
      </c>
      <c r="HE88" t="s">
        <v>188</v>
      </c>
      <c r="HH88">
        <v>0</v>
      </c>
      <c r="HI88">
        <v>0</v>
      </c>
      <c r="HJ88">
        <v>51.86</v>
      </c>
      <c r="HK88">
        <v>38.409999999999997</v>
      </c>
      <c r="HL88">
        <v>130.16999999999999</v>
      </c>
      <c r="HN88" t="s">
        <v>188</v>
      </c>
      <c r="IS88">
        <v>71</v>
      </c>
      <c r="IT88">
        <v>192</v>
      </c>
      <c r="IU88">
        <v>42.5</v>
      </c>
      <c r="IV88">
        <v>0</v>
      </c>
      <c r="IW88">
        <v>0</v>
      </c>
      <c r="IX88" t="s">
        <v>1768</v>
      </c>
      <c r="IY88">
        <v>0</v>
      </c>
      <c r="IZ88">
        <v>0</v>
      </c>
      <c r="JA88">
        <v>0</v>
      </c>
      <c r="JB88">
        <v>0</v>
      </c>
      <c r="JC88" t="s">
        <v>613</v>
      </c>
      <c r="JD88" t="s">
        <v>1167</v>
      </c>
      <c r="JE88" t="s">
        <v>791</v>
      </c>
      <c r="JF88">
        <v>0</v>
      </c>
      <c r="JH88" t="s">
        <v>188</v>
      </c>
      <c r="JI88">
        <v>0</v>
      </c>
      <c r="JJ88" t="s">
        <v>188</v>
      </c>
      <c r="JK88">
        <v>142.26</v>
      </c>
      <c r="JL88">
        <v>0</v>
      </c>
      <c r="JM88">
        <v>1</v>
      </c>
    </row>
    <row r="89" spans="1:273" x14ac:dyDescent="0.3">
      <c r="A89" t="s">
        <v>1769</v>
      </c>
      <c r="B89" t="s">
        <v>302</v>
      </c>
      <c r="C89" t="s">
        <v>340</v>
      </c>
      <c r="D89" t="s">
        <v>657</v>
      </c>
      <c r="E89" t="s">
        <v>1114</v>
      </c>
      <c r="F89" t="s">
        <v>592</v>
      </c>
      <c r="G89">
        <v>5</v>
      </c>
      <c r="H89" t="s">
        <v>1719</v>
      </c>
      <c r="I89" t="s">
        <v>594</v>
      </c>
      <c r="J89" t="s">
        <v>993</v>
      </c>
      <c r="L89" t="s">
        <v>658</v>
      </c>
      <c r="M89" t="s">
        <v>1720</v>
      </c>
      <c r="N89">
        <v>1</v>
      </c>
      <c r="O89">
        <v>1</v>
      </c>
      <c r="P89">
        <v>1</v>
      </c>
      <c r="Q89">
        <v>9</v>
      </c>
      <c r="R89">
        <v>2</v>
      </c>
      <c r="S89">
        <v>0</v>
      </c>
      <c r="T89">
        <v>0</v>
      </c>
      <c r="U89">
        <v>0</v>
      </c>
      <c r="V89" t="s">
        <v>188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 t="s">
        <v>596</v>
      </c>
      <c r="AI89">
        <v>1</v>
      </c>
      <c r="AJ89" t="s">
        <v>199</v>
      </c>
      <c r="AK89">
        <v>1</v>
      </c>
      <c r="AL89">
        <v>25</v>
      </c>
      <c r="AM89">
        <v>285</v>
      </c>
      <c r="AN89">
        <v>0</v>
      </c>
      <c r="AO89">
        <v>0</v>
      </c>
      <c r="AP89">
        <v>0</v>
      </c>
      <c r="AQ89">
        <v>225</v>
      </c>
      <c r="AR89">
        <v>80</v>
      </c>
      <c r="AS89">
        <v>61</v>
      </c>
      <c r="AT89">
        <v>71.97</v>
      </c>
      <c r="AU89">
        <v>0</v>
      </c>
      <c r="AV89">
        <v>0</v>
      </c>
      <c r="AW89">
        <v>241.27</v>
      </c>
      <c r="AX89">
        <v>67.790000000000006</v>
      </c>
      <c r="AY89">
        <v>222.8</v>
      </c>
      <c r="AZ89">
        <v>10.97</v>
      </c>
      <c r="BA89">
        <v>80</v>
      </c>
      <c r="BB89">
        <v>0</v>
      </c>
      <c r="BC89">
        <v>27</v>
      </c>
      <c r="BD89">
        <v>106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500</v>
      </c>
      <c r="BN89">
        <v>1300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1300</v>
      </c>
      <c r="BV89">
        <v>510</v>
      </c>
      <c r="BW89" t="s">
        <v>188</v>
      </c>
      <c r="BX89">
        <v>0</v>
      </c>
      <c r="BY89" t="s">
        <v>1720</v>
      </c>
      <c r="CA89">
        <v>1300</v>
      </c>
      <c r="CB89">
        <v>80</v>
      </c>
      <c r="CC89">
        <v>285</v>
      </c>
      <c r="CD89" t="s">
        <v>188</v>
      </c>
      <c r="CE89" t="s">
        <v>1721</v>
      </c>
      <c r="CF89" t="s">
        <v>1722</v>
      </c>
      <c r="CG89" t="s">
        <v>1723</v>
      </c>
      <c r="CI89" t="s">
        <v>1724</v>
      </c>
      <c r="CK89">
        <v>25</v>
      </c>
      <c r="CL89" t="s">
        <v>1725</v>
      </c>
      <c r="CM89" t="s">
        <v>1726</v>
      </c>
      <c r="CN89" t="s">
        <v>1727</v>
      </c>
      <c r="CO89">
        <v>0</v>
      </c>
      <c r="CP89" t="s">
        <v>188</v>
      </c>
      <c r="CQ89" t="s">
        <v>188</v>
      </c>
      <c r="CR89">
        <v>63</v>
      </c>
      <c r="CS89">
        <v>0</v>
      </c>
      <c r="CT89" t="s">
        <v>1728</v>
      </c>
      <c r="CX89">
        <v>0</v>
      </c>
      <c r="CY89">
        <v>2100</v>
      </c>
      <c r="CZ89">
        <v>0</v>
      </c>
      <c r="DA89">
        <v>0</v>
      </c>
      <c r="DB89" t="s">
        <v>1729</v>
      </c>
      <c r="DC89">
        <v>0</v>
      </c>
      <c r="DD89">
        <v>0</v>
      </c>
      <c r="DI89" t="s">
        <v>1730</v>
      </c>
      <c r="DJ89" t="s">
        <v>1731</v>
      </c>
      <c r="DK89">
        <v>150</v>
      </c>
      <c r="DQ89" t="s">
        <v>773</v>
      </c>
      <c r="DR89">
        <v>260</v>
      </c>
      <c r="DS89" t="s">
        <v>1046</v>
      </c>
      <c r="DT89">
        <v>425</v>
      </c>
      <c r="EW89" t="s">
        <v>188</v>
      </c>
      <c r="EX89" t="s">
        <v>188</v>
      </c>
      <c r="EY89" t="s">
        <v>188</v>
      </c>
      <c r="EZ89" t="s">
        <v>188</v>
      </c>
      <c r="FA89">
        <v>4</v>
      </c>
      <c r="FB89" t="s">
        <v>188</v>
      </c>
      <c r="FE89">
        <v>1.1111111111111099E+23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 t="s">
        <v>188</v>
      </c>
      <c r="GF89" t="s">
        <v>188</v>
      </c>
      <c r="GG89" t="s">
        <v>188</v>
      </c>
      <c r="GH89" s="1">
        <v>44648</v>
      </c>
      <c r="GI89" t="s">
        <v>608</v>
      </c>
      <c r="GJ89" t="s">
        <v>609</v>
      </c>
      <c r="GK89" t="s">
        <v>610</v>
      </c>
      <c r="GL89">
        <v>0</v>
      </c>
      <c r="GM89">
        <v>0</v>
      </c>
      <c r="GN89">
        <v>203.2</v>
      </c>
      <c r="GO89">
        <v>152.4</v>
      </c>
      <c r="GP89">
        <v>0</v>
      </c>
      <c r="GQ89" t="s">
        <v>611</v>
      </c>
      <c r="GR89" s="1">
        <v>45162</v>
      </c>
      <c r="GV89" t="s">
        <v>188</v>
      </c>
      <c r="GW89" t="s">
        <v>188</v>
      </c>
      <c r="GX89" t="s">
        <v>188</v>
      </c>
      <c r="GY89" t="s">
        <v>188</v>
      </c>
      <c r="GZ89" t="s">
        <v>188</v>
      </c>
      <c r="HA89" t="s">
        <v>188</v>
      </c>
      <c r="HB89" t="s">
        <v>188</v>
      </c>
      <c r="HC89" t="s">
        <v>188</v>
      </c>
      <c r="HD89" t="s">
        <v>188</v>
      </c>
      <c r="HE89" t="s">
        <v>188</v>
      </c>
      <c r="HH89">
        <v>0</v>
      </c>
      <c r="HI89">
        <v>0</v>
      </c>
      <c r="HJ89">
        <v>81.25</v>
      </c>
      <c r="HK89">
        <v>60.25</v>
      </c>
      <c r="HL89">
        <v>246.11</v>
      </c>
      <c r="HN89" t="s">
        <v>188</v>
      </c>
      <c r="IS89">
        <v>0</v>
      </c>
      <c r="IT89">
        <v>0</v>
      </c>
      <c r="IU89">
        <v>0</v>
      </c>
      <c r="IV89">
        <v>0</v>
      </c>
      <c r="IW89">
        <v>0</v>
      </c>
      <c r="IX89" t="s">
        <v>1732</v>
      </c>
      <c r="IY89">
        <v>0</v>
      </c>
      <c r="IZ89">
        <v>0</v>
      </c>
      <c r="JA89">
        <v>0</v>
      </c>
      <c r="JB89">
        <v>0</v>
      </c>
      <c r="JC89" t="s">
        <v>613</v>
      </c>
      <c r="JD89" t="s">
        <v>1733</v>
      </c>
      <c r="JE89" t="s">
        <v>791</v>
      </c>
      <c r="JF89">
        <v>0</v>
      </c>
      <c r="JH89" t="s">
        <v>188</v>
      </c>
      <c r="JI89">
        <v>0</v>
      </c>
      <c r="JJ89" t="s">
        <v>188</v>
      </c>
      <c r="JK89">
        <v>243.49</v>
      </c>
      <c r="JL89">
        <v>0</v>
      </c>
      <c r="JM89">
        <v>1</v>
      </c>
    </row>
    <row r="90" spans="1:273" x14ac:dyDescent="0.3">
      <c r="A90" t="s">
        <v>1770</v>
      </c>
      <c r="B90" t="s">
        <v>302</v>
      </c>
      <c r="C90" t="s">
        <v>340</v>
      </c>
      <c r="D90" t="s">
        <v>590</v>
      </c>
      <c r="E90" t="s">
        <v>1771</v>
      </c>
      <c r="F90" t="s">
        <v>592</v>
      </c>
      <c r="G90">
        <v>4</v>
      </c>
      <c r="H90" t="s">
        <v>1378</v>
      </c>
      <c r="I90" t="s">
        <v>594</v>
      </c>
      <c r="J90" t="s">
        <v>661</v>
      </c>
      <c r="N90">
        <v>3</v>
      </c>
      <c r="O90">
        <v>3</v>
      </c>
      <c r="P90">
        <v>1</v>
      </c>
      <c r="Q90">
        <v>11</v>
      </c>
      <c r="R90">
        <v>2</v>
      </c>
      <c r="S90">
        <v>0</v>
      </c>
      <c r="T90">
        <v>0</v>
      </c>
      <c r="U90">
        <v>0</v>
      </c>
      <c r="V90" t="s">
        <v>188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 t="s">
        <v>596</v>
      </c>
      <c r="AI90">
        <v>1</v>
      </c>
      <c r="AJ90" t="s">
        <v>199</v>
      </c>
      <c r="AK90">
        <v>1</v>
      </c>
      <c r="AL90">
        <v>3.9</v>
      </c>
      <c r="AM90">
        <v>45.2</v>
      </c>
      <c r="AN90">
        <v>0</v>
      </c>
      <c r="AO90">
        <v>0</v>
      </c>
      <c r="AP90">
        <v>1.1000000000000001</v>
      </c>
      <c r="AQ90">
        <v>55</v>
      </c>
      <c r="AR90">
        <v>57.1</v>
      </c>
      <c r="AS90">
        <v>7.3</v>
      </c>
      <c r="AT90">
        <v>56.5</v>
      </c>
      <c r="AU90">
        <v>20</v>
      </c>
      <c r="AV90">
        <v>120</v>
      </c>
      <c r="AW90">
        <v>33.54</v>
      </c>
      <c r="AX90">
        <v>50.55</v>
      </c>
      <c r="AY90">
        <v>29.43</v>
      </c>
      <c r="AZ90">
        <v>6.27</v>
      </c>
      <c r="BA90">
        <v>57.1</v>
      </c>
      <c r="BB90">
        <v>0</v>
      </c>
      <c r="BC90">
        <v>25</v>
      </c>
      <c r="BD90">
        <v>120</v>
      </c>
      <c r="BE90">
        <v>0</v>
      </c>
      <c r="BF90">
        <v>0</v>
      </c>
      <c r="BG90">
        <v>0</v>
      </c>
      <c r="BH90">
        <v>0</v>
      </c>
      <c r="BI90">
        <v>224</v>
      </c>
      <c r="BJ90">
        <v>224</v>
      </c>
      <c r="BK90">
        <v>0</v>
      </c>
      <c r="BL90">
        <v>0</v>
      </c>
      <c r="BM90">
        <v>1000</v>
      </c>
      <c r="BN90">
        <v>2600</v>
      </c>
      <c r="BO90">
        <v>0</v>
      </c>
      <c r="BP90">
        <v>0</v>
      </c>
      <c r="BQ90">
        <v>0</v>
      </c>
      <c r="BR90">
        <v>50</v>
      </c>
      <c r="BS90">
        <v>0</v>
      </c>
      <c r="BT90">
        <v>0</v>
      </c>
      <c r="BU90">
        <v>2600</v>
      </c>
      <c r="BV90">
        <v>224</v>
      </c>
      <c r="BW90" t="s">
        <v>188</v>
      </c>
      <c r="BX90">
        <v>0</v>
      </c>
      <c r="BY90" t="s">
        <v>1379</v>
      </c>
      <c r="CA90" t="s">
        <v>1380</v>
      </c>
      <c r="CB90" t="s">
        <v>1381</v>
      </c>
      <c r="CC90" t="s">
        <v>1382</v>
      </c>
      <c r="CD90" t="s">
        <v>188</v>
      </c>
      <c r="CE90" t="s">
        <v>1383</v>
      </c>
      <c r="CF90" t="s">
        <v>1384</v>
      </c>
      <c r="CG90" t="s">
        <v>1385</v>
      </c>
      <c r="CI90" t="s">
        <v>1386</v>
      </c>
      <c r="CK90" t="s">
        <v>1387</v>
      </c>
      <c r="CL90" t="s">
        <v>1388</v>
      </c>
      <c r="CM90" t="s">
        <v>1389</v>
      </c>
      <c r="CN90" t="s">
        <v>1390</v>
      </c>
      <c r="CO90" t="s">
        <v>674</v>
      </c>
      <c r="CP90" t="s">
        <v>188</v>
      </c>
      <c r="CQ90" t="s">
        <v>188</v>
      </c>
      <c r="CR90">
        <v>0</v>
      </c>
      <c r="CS90">
        <v>0</v>
      </c>
      <c r="CX90">
        <v>0</v>
      </c>
      <c r="CY90">
        <v>0</v>
      </c>
      <c r="CZ90">
        <v>0</v>
      </c>
      <c r="DA90">
        <v>0</v>
      </c>
      <c r="DC90">
        <v>0</v>
      </c>
      <c r="DD90">
        <v>0</v>
      </c>
      <c r="DJ90" t="s">
        <v>1772</v>
      </c>
      <c r="DK90">
        <v>50</v>
      </c>
      <c r="DL90">
        <v>50</v>
      </c>
      <c r="DQ90" t="s">
        <v>719</v>
      </c>
      <c r="DR90">
        <v>30</v>
      </c>
      <c r="DS90" t="s">
        <v>720</v>
      </c>
      <c r="DT90">
        <v>55</v>
      </c>
      <c r="EW90" t="s">
        <v>188</v>
      </c>
      <c r="EX90" t="s">
        <v>188</v>
      </c>
      <c r="EY90" t="s">
        <v>188</v>
      </c>
      <c r="EZ90" t="s">
        <v>188</v>
      </c>
      <c r="FA90">
        <v>4</v>
      </c>
      <c r="FB90" t="s">
        <v>188</v>
      </c>
      <c r="FC90" t="s">
        <v>681</v>
      </c>
      <c r="FD90" t="s">
        <v>682</v>
      </c>
      <c r="FE90">
        <v>1.1111111111111101E+31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 t="s">
        <v>188</v>
      </c>
      <c r="GF90" t="s">
        <v>188</v>
      </c>
      <c r="GG90" t="s">
        <v>188</v>
      </c>
      <c r="GH90" s="1">
        <v>45152</v>
      </c>
      <c r="GJ90" t="s">
        <v>610</v>
      </c>
      <c r="GK90" t="s">
        <v>610</v>
      </c>
      <c r="GL90">
        <v>0</v>
      </c>
      <c r="GM90">
        <v>0</v>
      </c>
      <c r="GN90">
        <v>138</v>
      </c>
      <c r="GO90">
        <v>51</v>
      </c>
      <c r="GP90">
        <v>0</v>
      </c>
      <c r="GR90" s="1">
        <v>45510</v>
      </c>
      <c r="GV90" t="s">
        <v>188</v>
      </c>
      <c r="GW90" t="s">
        <v>188</v>
      </c>
      <c r="GX90" t="s">
        <v>188</v>
      </c>
      <c r="GY90" t="s">
        <v>188</v>
      </c>
      <c r="GZ90" t="s">
        <v>188</v>
      </c>
      <c r="HA90" t="s">
        <v>188</v>
      </c>
      <c r="HB90" t="s">
        <v>188</v>
      </c>
      <c r="HC90" t="s">
        <v>188</v>
      </c>
      <c r="HD90" t="s">
        <v>188</v>
      </c>
      <c r="HE90" t="s">
        <v>188</v>
      </c>
      <c r="HH90">
        <v>0</v>
      </c>
      <c r="HI90">
        <v>0</v>
      </c>
      <c r="HJ90">
        <v>57.13</v>
      </c>
      <c r="HK90">
        <v>48.49</v>
      </c>
      <c r="HL90">
        <v>34.81</v>
      </c>
      <c r="HN90" t="s">
        <v>188</v>
      </c>
      <c r="IS90">
        <v>0</v>
      </c>
      <c r="IT90">
        <v>0</v>
      </c>
      <c r="IU90">
        <v>0</v>
      </c>
      <c r="IV90">
        <v>0</v>
      </c>
      <c r="IW90">
        <v>0</v>
      </c>
      <c r="IX90" t="s">
        <v>1391</v>
      </c>
      <c r="IY90">
        <v>0</v>
      </c>
      <c r="IZ90">
        <v>0</v>
      </c>
      <c r="JA90">
        <v>0</v>
      </c>
      <c r="JB90">
        <v>0</v>
      </c>
      <c r="JC90" t="s">
        <v>613</v>
      </c>
      <c r="JD90" t="s">
        <v>1392</v>
      </c>
      <c r="JE90" t="s">
        <v>1393</v>
      </c>
      <c r="JF90">
        <v>0</v>
      </c>
      <c r="JG90" t="s">
        <v>1773</v>
      </c>
      <c r="JH90" t="s">
        <v>188</v>
      </c>
      <c r="JI90">
        <v>0</v>
      </c>
      <c r="JJ90" t="s">
        <v>188</v>
      </c>
      <c r="JK90">
        <v>40.049999999999997</v>
      </c>
      <c r="JL90">
        <v>7.5</v>
      </c>
      <c r="JM90">
        <v>3</v>
      </c>
    </row>
    <row r="91" spans="1:273" x14ac:dyDescent="0.3">
      <c r="A91" t="s">
        <v>1774</v>
      </c>
      <c r="B91" t="s">
        <v>302</v>
      </c>
      <c r="C91" t="s">
        <v>340</v>
      </c>
      <c r="D91" t="s">
        <v>657</v>
      </c>
      <c r="E91" t="s">
        <v>1775</v>
      </c>
      <c r="F91" t="s">
        <v>592</v>
      </c>
      <c r="G91">
        <v>5</v>
      </c>
      <c r="H91" t="s">
        <v>1776</v>
      </c>
      <c r="I91" t="s">
        <v>594</v>
      </c>
      <c r="J91" t="s">
        <v>993</v>
      </c>
      <c r="L91" t="s">
        <v>1589</v>
      </c>
      <c r="M91" t="s">
        <v>1777</v>
      </c>
      <c r="N91">
        <v>1</v>
      </c>
      <c r="O91">
        <v>1</v>
      </c>
      <c r="P91">
        <v>1</v>
      </c>
      <c r="Q91">
        <v>7</v>
      </c>
      <c r="R91">
        <v>2</v>
      </c>
      <c r="S91">
        <v>0</v>
      </c>
      <c r="T91">
        <v>0</v>
      </c>
      <c r="U91">
        <v>0</v>
      </c>
      <c r="V91" t="s">
        <v>188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 t="s">
        <v>596</v>
      </c>
      <c r="AI91">
        <v>1</v>
      </c>
      <c r="AJ91" t="s">
        <v>199</v>
      </c>
      <c r="AK91">
        <v>1</v>
      </c>
      <c r="AL91">
        <v>17.2</v>
      </c>
      <c r="AM91">
        <v>123</v>
      </c>
      <c r="AN91">
        <v>0</v>
      </c>
      <c r="AO91">
        <v>0</v>
      </c>
      <c r="AP91">
        <v>0</v>
      </c>
      <c r="AQ91">
        <v>225</v>
      </c>
      <c r="AR91">
        <v>103.5</v>
      </c>
      <c r="AS91">
        <v>87</v>
      </c>
      <c r="AT91">
        <v>62.5</v>
      </c>
      <c r="AU91">
        <v>0</v>
      </c>
      <c r="AV91">
        <v>0</v>
      </c>
      <c r="AW91">
        <v>94</v>
      </c>
      <c r="AX91">
        <v>87</v>
      </c>
      <c r="AY91">
        <v>128.27000000000001</v>
      </c>
      <c r="AZ91">
        <v>11.75</v>
      </c>
      <c r="BA91">
        <v>103.5</v>
      </c>
      <c r="BB91">
        <v>0</v>
      </c>
      <c r="BC91">
        <v>15</v>
      </c>
      <c r="BD91">
        <v>68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600</v>
      </c>
      <c r="BN91">
        <v>1400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1400</v>
      </c>
      <c r="BV91">
        <v>508</v>
      </c>
      <c r="BW91" t="s">
        <v>188</v>
      </c>
      <c r="BX91">
        <v>0</v>
      </c>
      <c r="BY91" t="s">
        <v>1777</v>
      </c>
      <c r="CA91">
        <v>1400</v>
      </c>
      <c r="CB91">
        <v>103.5</v>
      </c>
      <c r="CC91">
        <v>94</v>
      </c>
      <c r="CD91" t="s">
        <v>188</v>
      </c>
      <c r="CE91" t="s">
        <v>1778</v>
      </c>
      <c r="CF91" t="s">
        <v>1779</v>
      </c>
      <c r="CG91" t="s">
        <v>1780</v>
      </c>
      <c r="CI91" t="s">
        <v>1781</v>
      </c>
      <c r="CK91">
        <v>5</v>
      </c>
      <c r="CL91" t="s">
        <v>1782</v>
      </c>
      <c r="CM91" t="s">
        <v>1783</v>
      </c>
      <c r="CN91" t="s">
        <v>1784</v>
      </c>
      <c r="CO91">
        <v>0</v>
      </c>
      <c r="CP91" t="s">
        <v>188</v>
      </c>
      <c r="CQ91" t="s">
        <v>188</v>
      </c>
      <c r="CR91">
        <v>38</v>
      </c>
      <c r="CS91">
        <v>0</v>
      </c>
      <c r="CT91" t="s">
        <v>1598</v>
      </c>
      <c r="CX91">
        <v>0</v>
      </c>
      <c r="CY91">
        <v>3450</v>
      </c>
      <c r="CZ91">
        <v>0</v>
      </c>
      <c r="DA91">
        <v>0</v>
      </c>
      <c r="DB91" t="s">
        <v>1785</v>
      </c>
      <c r="DC91">
        <v>0</v>
      </c>
      <c r="DD91">
        <v>0</v>
      </c>
      <c r="DI91" t="s">
        <v>1786</v>
      </c>
      <c r="DJ91" t="s">
        <v>1787</v>
      </c>
      <c r="DK91">
        <v>80</v>
      </c>
      <c r="DQ91" t="s">
        <v>755</v>
      </c>
      <c r="DR91">
        <v>120</v>
      </c>
      <c r="DS91" t="s">
        <v>1087</v>
      </c>
      <c r="DT91">
        <v>225</v>
      </c>
      <c r="DU91">
        <v>0</v>
      </c>
      <c r="DV91">
        <v>0</v>
      </c>
      <c r="EW91" t="s">
        <v>188</v>
      </c>
      <c r="EX91" t="s">
        <v>188</v>
      </c>
      <c r="EY91" t="s">
        <v>188</v>
      </c>
      <c r="EZ91" t="s">
        <v>188</v>
      </c>
      <c r="FA91">
        <v>4</v>
      </c>
      <c r="FB91" t="s">
        <v>188</v>
      </c>
      <c r="FC91" t="s">
        <v>681</v>
      </c>
      <c r="FD91" t="s">
        <v>682</v>
      </c>
      <c r="FE91">
        <v>1.1111101111110101E+27</v>
      </c>
      <c r="FF91">
        <v>0</v>
      </c>
      <c r="FG91">
        <v>90</v>
      </c>
      <c r="FH91">
        <v>9</v>
      </c>
      <c r="FI91">
        <v>1</v>
      </c>
      <c r="FJ91">
        <v>2</v>
      </c>
      <c r="FK91">
        <v>0</v>
      </c>
      <c r="FL91">
        <v>120</v>
      </c>
      <c r="FM91">
        <v>6</v>
      </c>
      <c r="FN91">
        <v>1</v>
      </c>
      <c r="FO91">
        <v>5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 t="s">
        <v>188</v>
      </c>
      <c r="GF91" t="s">
        <v>188</v>
      </c>
      <c r="GG91" t="s">
        <v>188</v>
      </c>
      <c r="GH91" s="1">
        <v>44648</v>
      </c>
      <c r="GI91" t="s">
        <v>608</v>
      </c>
      <c r="GJ91" t="s">
        <v>609</v>
      </c>
      <c r="GK91" t="s">
        <v>610</v>
      </c>
      <c r="GL91">
        <v>0</v>
      </c>
      <c r="GM91">
        <v>0</v>
      </c>
      <c r="GN91">
        <v>101.6</v>
      </c>
      <c r="GO91">
        <v>76.2</v>
      </c>
      <c r="GP91">
        <v>0</v>
      </c>
      <c r="GQ91" t="s">
        <v>611</v>
      </c>
      <c r="GR91" s="1">
        <v>44971</v>
      </c>
      <c r="GV91" t="s">
        <v>188</v>
      </c>
      <c r="GW91" t="s">
        <v>188</v>
      </c>
      <c r="GX91" t="s">
        <v>188</v>
      </c>
      <c r="GY91" t="s">
        <v>188</v>
      </c>
      <c r="GZ91" t="s">
        <v>188</v>
      </c>
      <c r="HA91" t="s">
        <v>188</v>
      </c>
      <c r="HB91" t="s">
        <v>188</v>
      </c>
      <c r="HC91" t="s">
        <v>188</v>
      </c>
      <c r="HD91" t="s">
        <v>188</v>
      </c>
      <c r="HE91" t="s">
        <v>188</v>
      </c>
      <c r="HH91">
        <v>0</v>
      </c>
      <c r="HI91">
        <v>0</v>
      </c>
      <c r="HJ91">
        <v>101.45</v>
      </c>
      <c r="HK91">
        <v>76.42</v>
      </c>
      <c r="HL91">
        <v>137.19999999999999</v>
      </c>
      <c r="HN91" t="s">
        <v>188</v>
      </c>
      <c r="IS91">
        <v>0</v>
      </c>
      <c r="IT91">
        <v>0</v>
      </c>
      <c r="IU91">
        <v>0</v>
      </c>
      <c r="IV91">
        <v>0</v>
      </c>
      <c r="IW91">
        <v>0</v>
      </c>
      <c r="IX91" t="s">
        <v>1788</v>
      </c>
      <c r="IY91">
        <v>0</v>
      </c>
      <c r="IZ91">
        <v>0</v>
      </c>
      <c r="JA91">
        <v>0</v>
      </c>
      <c r="JB91">
        <v>0</v>
      </c>
      <c r="JC91" t="s">
        <v>613</v>
      </c>
      <c r="JD91" t="s">
        <v>1789</v>
      </c>
      <c r="JE91" t="s">
        <v>791</v>
      </c>
      <c r="JF91">
        <v>0</v>
      </c>
      <c r="JH91" t="s">
        <v>188</v>
      </c>
      <c r="JI91">
        <v>0</v>
      </c>
      <c r="JJ91" t="s">
        <v>188</v>
      </c>
      <c r="JK91">
        <v>128.28</v>
      </c>
      <c r="JL91">
        <v>0</v>
      </c>
      <c r="JM91">
        <v>1</v>
      </c>
    </row>
    <row r="92" spans="1:273" x14ac:dyDescent="0.3">
      <c r="A92" t="s">
        <v>1790</v>
      </c>
      <c r="B92" t="s">
        <v>302</v>
      </c>
      <c r="C92" t="s">
        <v>340</v>
      </c>
      <c r="D92" t="s">
        <v>657</v>
      </c>
      <c r="E92" t="s">
        <v>1775</v>
      </c>
      <c r="F92" t="s">
        <v>592</v>
      </c>
      <c r="G92">
        <v>5</v>
      </c>
      <c r="H92" t="s">
        <v>1791</v>
      </c>
      <c r="I92" t="s">
        <v>594</v>
      </c>
      <c r="J92" t="s">
        <v>993</v>
      </c>
      <c r="L92" t="s">
        <v>1589</v>
      </c>
      <c r="M92" t="s">
        <v>1792</v>
      </c>
      <c r="N92">
        <v>1</v>
      </c>
      <c r="O92">
        <v>1</v>
      </c>
      <c r="P92">
        <v>1</v>
      </c>
      <c r="Q92">
        <v>9</v>
      </c>
      <c r="R92">
        <v>2</v>
      </c>
      <c r="S92">
        <v>0</v>
      </c>
      <c r="T92">
        <v>0</v>
      </c>
      <c r="U92">
        <v>0</v>
      </c>
      <c r="V92" t="s">
        <v>188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 t="s">
        <v>596</v>
      </c>
      <c r="AI92">
        <v>1</v>
      </c>
      <c r="AJ92" t="s">
        <v>199</v>
      </c>
      <c r="AK92">
        <v>1</v>
      </c>
      <c r="AL92">
        <v>29.8</v>
      </c>
      <c r="AM92">
        <v>218.6</v>
      </c>
      <c r="AN92">
        <v>0</v>
      </c>
      <c r="AO92">
        <v>0</v>
      </c>
      <c r="AP92">
        <v>0</v>
      </c>
      <c r="AQ92">
        <v>0</v>
      </c>
      <c r="AR92">
        <v>97.4</v>
      </c>
      <c r="AS92">
        <v>66</v>
      </c>
      <c r="AT92">
        <v>63.82</v>
      </c>
      <c r="AU92">
        <v>0</v>
      </c>
      <c r="AV92">
        <v>0</v>
      </c>
      <c r="AW92">
        <v>170.73</v>
      </c>
      <c r="AX92">
        <v>81.19</v>
      </c>
      <c r="AY92">
        <v>212.95</v>
      </c>
      <c r="AZ92">
        <v>7.46</v>
      </c>
      <c r="BA92">
        <v>97.4</v>
      </c>
      <c r="BB92">
        <v>0</v>
      </c>
      <c r="BC92">
        <v>15</v>
      </c>
      <c r="BD92">
        <v>91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600</v>
      </c>
      <c r="BN92">
        <v>1000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1000</v>
      </c>
      <c r="BV92">
        <v>711</v>
      </c>
      <c r="BW92" t="s">
        <v>188</v>
      </c>
      <c r="BX92">
        <v>0</v>
      </c>
      <c r="BY92" t="s">
        <v>1792</v>
      </c>
      <c r="CA92">
        <v>1000</v>
      </c>
      <c r="CB92">
        <v>97.4</v>
      </c>
      <c r="CC92">
        <v>218.6</v>
      </c>
      <c r="CD92" t="s">
        <v>188</v>
      </c>
      <c r="CE92" t="s">
        <v>1793</v>
      </c>
      <c r="CF92" t="s">
        <v>1794</v>
      </c>
      <c r="CG92" t="s">
        <v>1795</v>
      </c>
      <c r="CI92" t="s">
        <v>1796</v>
      </c>
      <c r="CK92">
        <v>10</v>
      </c>
      <c r="CL92" t="s">
        <v>1797</v>
      </c>
      <c r="CM92" t="s">
        <v>1798</v>
      </c>
      <c r="CN92" t="s">
        <v>1799</v>
      </c>
      <c r="CO92">
        <v>0</v>
      </c>
      <c r="CP92" t="s">
        <v>188</v>
      </c>
      <c r="CQ92" t="s">
        <v>188</v>
      </c>
      <c r="CR92">
        <v>57</v>
      </c>
      <c r="CS92">
        <v>0</v>
      </c>
      <c r="CT92" t="s">
        <v>1598</v>
      </c>
      <c r="CX92">
        <v>0</v>
      </c>
      <c r="CY92">
        <v>3450</v>
      </c>
      <c r="CZ92">
        <v>0</v>
      </c>
      <c r="DA92">
        <v>0</v>
      </c>
      <c r="DB92" t="s">
        <v>1800</v>
      </c>
      <c r="DC92">
        <v>0</v>
      </c>
      <c r="DD92">
        <v>0</v>
      </c>
      <c r="DI92" t="s">
        <v>1801</v>
      </c>
      <c r="DJ92" t="s">
        <v>1802</v>
      </c>
      <c r="DK92">
        <v>80</v>
      </c>
      <c r="DQ92" t="s">
        <v>773</v>
      </c>
      <c r="DR92">
        <v>260</v>
      </c>
      <c r="DS92" t="s">
        <v>1046</v>
      </c>
      <c r="DT92">
        <v>425</v>
      </c>
      <c r="DU92">
        <v>0</v>
      </c>
      <c r="DV92">
        <v>0</v>
      </c>
      <c r="EW92" t="s">
        <v>188</v>
      </c>
      <c r="EX92" t="s">
        <v>188</v>
      </c>
      <c r="EY92" t="s">
        <v>188</v>
      </c>
      <c r="EZ92" t="s">
        <v>188</v>
      </c>
      <c r="FA92">
        <v>4</v>
      </c>
      <c r="FB92" t="s">
        <v>188</v>
      </c>
      <c r="FC92" t="s">
        <v>681</v>
      </c>
      <c r="FD92" t="s">
        <v>682</v>
      </c>
      <c r="FE92">
        <v>1.11111111111111E+19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 t="s">
        <v>188</v>
      </c>
      <c r="GF92" t="s">
        <v>188</v>
      </c>
      <c r="GG92" t="s">
        <v>188</v>
      </c>
      <c r="GH92" s="1">
        <v>44648</v>
      </c>
      <c r="GI92" t="s">
        <v>608</v>
      </c>
      <c r="GJ92" t="s">
        <v>609</v>
      </c>
      <c r="GK92" t="s">
        <v>610</v>
      </c>
      <c r="GL92">
        <v>0</v>
      </c>
      <c r="GM92">
        <v>0</v>
      </c>
      <c r="GN92">
        <v>101.6</v>
      </c>
      <c r="GO92">
        <v>76.2</v>
      </c>
      <c r="GP92">
        <v>0</v>
      </c>
      <c r="GQ92" t="s">
        <v>611</v>
      </c>
      <c r="GR92" s="1">
        <v>44965</v>
      </c>
      <c r="GV92" t="s">
        <v>188</v>
      </c>
      <c r="GW92" t="s">
        <v>188</v>
      </c>
      <c r="GX92" t="s">
        <v>188</v>
      </c>
      <c r="GY92" t="s">
        <v>188</v>
      </c>
      <c r="GZ92" t="s">
        <v>188</v>
      </c>
      <c r="HA92" t="s">
        <v>188</v>
      </c>
      <c r="HB92" t="s">
        <v>188</v>
      </c>
      <c r="HC92" t="s">
        <v>188</v>
      </c>
      <c r="HD92" t="s">
        <v>188</v>
      </c>
      <c r="HE92" t="s">
        <v>188</v>
      </c>
      <c r="HH92">
        <v>0</v>
      </c>
      <c r="HI92">
        <v>0</v>
      </c>
      <c r="HJ92">
        <v>95.85</v>
      </c>
      <c r="HK92">
        <v>71.27</v>
      </c>
      <c r="HL92">
        <v>230.47</v>
      </c>
      <c r="HN92" t="s">
        <v>188</v>
      </c>
      <c r="IS92">
        <v>0</v>
      </c>
      <c r="IT92">
        <v>0</v>
      </c>
      <c r="IU92">
        <v>0</v>
      </c>
      <c r="IV92">
        <v>0</v>
      </c>
      <c r="IW92">
        <v>0</v>
      </c>
      <c r="IX92" t="s">
        <v>1788</v>
      </c>
      <c r="IY92">
        <v>0</v>
      </c>
      <c r="IZ92">
        <v>0</v>
      </c>
      <c r="JA92">
        <v>0</v>
      </c>
      <c r="JB92">
        <v>0</v>
      </c>
      <c r="JC92" t="s">
        <v>613</v>
      </c>
      <c r="JD92" t="s">
        <v>1803</v>
      </c>
      <c r="JE92" t="s">
        <v>1804</v>
      </c>
      <c r="JF92">
        <v>2</v>
      </c>
      <c r="JG92" t="s">
        <v>1805</v>
      </c>
      <c r="JH92" t="s">
        <v>188</v>
      </c>
      <c r="JI92">
        <v>0</v>
      </c>
      <c r="JJ92" t="s">
        <v>188</v>
      </c>
      <c r="JK92">
        <v>235.75</v>
      </c>
      <c r="JL92">
        <v>0</v>
      </c>
      <c r="JM92">
        <v>1</v>
      </c>
    </row>
    <row r="93" spans="1:273" x14ac:dyDescent="0.3">
      <c r="A93" t="s">
        <v>1806</v>
      </c>
      <c r="B93" t="s">
        <v>302</v>
      </c>
      <c r="C93" t="s">
        <v>340</v>
      </c>
      <c r="D93" t="s">
        <v>657</v>
      </c>
      <c r="E93" t="s">
        <v>1775</v>
      </c>
      <c r="F93" t="s">
        <v>592</v>
      </c>
      <c r="G93">
        <v>5</v>
      </c>
      <c r="H93" t="s">
        <v>1807</v>
      </c>
      <c r="I93" t="s">
        <v>594</v>
      </c>
      <c r="J93" t="s">
        <v>993</v>
      </c>
      <c r="L93" t="s">
        <v>1589</v>
      </c>
      <c r="M93" t="s">
        <v>1808</v>
      </c>
      <c r="N93">
        <v>1</v>
      </c>
      <c r="O93">
        <v>1</v>
      </c>
      <c r="P93">
        <v>1</v>
      </c>
      <c r="Q93">
        <v>10</v>
      </c>
      <c r="R93">
        <v>2</v>
      </c>
      <c r="S93">
        <v>0</v>
      </c>
      <c r="T93">
        <v>0</v>
      </c>
      <c r="U93">
        <v>0</v>
      </c>
      <c r="V93" t="s">
        <v>188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 t="s">
        <v>596</v>
      </c>
      <c r="AI93">
        <v>1</v>
      </c>
      <c r="AJ93" t="s">
        <v>199</v>
      </c>
      <c r="AK93">
        <v>1</v>
      </c>
      <c r="AL93">
        <v>69.2</v>
      </c>
      <c r="AM93">
        <v>417.7</v>
      </c>
      <c r="AN93">
        <v>0</v>
      </c>
      <c r="AO93">
        <v>0</v>
      </c>
      <c r="AP93">
        <v>0</v>
      </c>
      <c r="AQ93">
        <v>900</v>
      </c>
      <c r="AR93">
        <v>97.4</v>
      </c>
      <c r="AS93">
        <v>76.7</v>
      </c>
      <c r="AT93">
        <v>66.489999999999995</v>
      </c>
      <c r="AU93">
        <v>0</v>
      </c>
      <c r="AV93">
        <v>0</v>
      </c>
      <c r="AW93">
        <v>373.09</v>
      </c>
      <c r="AX93">
        <v>82.5</v>
      </c>
      <c r="AY93">
        <v>453.83</v>
      </c>
      <c r="AZ93">
        <v>10.5</v>
      </c>
      <c r="BA93">
        <v>97.4</v>
      </c>
      <c r="BB93">
        <v>0</v>
      </c>
      <c r="BC93">
        <v>16</v>
      </c>
      <c r="BD93">
        <v>76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450</v>
      </c>
      <c r="BN93">
        <v>725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725</v>
      </c>
      <c r="BV93">
        <v>965</v>
      </c>
      <c r="BW93" t="s">
        <v>188</v>
      </c>
      <c r="BX93">
        <v>0</v>
      </c>
      <c r="BY93" t="s">
        <v>1808</v>
      </c>
      <c r="CA93">
        <v>725</v>
      </c>
      <c r="CB93">
        <v>97.4</v>
      </c>
      <c r="CC93">
        <v>417.7</v>
      </c>
      <c r="CD93" t="s">
        <v>188</v>
      </c>
      <c r="CE93" t="s">
        <v>1809</v>
      </c>
      <c r="CF93" t="s">
        <v>1810</v>
      </c>
      <c r="CG93" t="s">
        <v>1811</v>
      </c>
      <c r="CI93" t="s">
        <v>1812</v>
      </c>
      <c r="CK93">
        <v>25</v>
      </c>
      <c r="CL93" t="s">
        <v>1813</v>
      </c>
      <c r="CM93" t="s">
        <v>1814</v>
      </c>
      <c r="CN93" t="s">
        <v>1815</v>
      </c>
      <c r="CO93">
        <v>0</v>
      </c>
      <c r="CP93" t="s">
        <v>188</v>
      </c>
      <c r="CQ93" t="s">
        <v>188</v>
      </c>
      <c r="CR93">
        <v>76</v>
      </c>
      <c r="CS93">
        <v>0</v>
      </c>
      <c r="CT93" t="s">
        <v>1598</v>
      </c>
      <c r="CX93">
        <v>0</v>
      </c>
      <c r="CY93">
        <v>3450</v>
      </c>
      <c r="CZ93">
        <v>0</v>
      </c>
      <c r="DA93">
        <v>0</v>
      </c>
      <c r="DB93" t="s">
        <v>1816</v>
      </c>
      <c r="DC93">
        <v>0</v>
      </c>
      <c r="DD93">
        <v>0</v>
      </c>
      <c r="DI93" t="s">
        <v>1817</v>
      </c>
      <c r="DJ93" t="s">
        <v>1818</v>
      </c>
      <c r="DK93">
        <v>80</v>
      </c>
      <c r="DQ93" t="s">
        <v>703</v>
      </c>
      <c r="DR93">
        <v>600</v>
      </c>
      <c r="DS93" t="s">
        <v>1165</v>
      </c>
      <c r="DT93">
        <v>900</v>
      </c>
      <c r="DU93">
        <v>0</v>
      </c>
      <c r="DV93">
        <v>0</v>
      </c>
      <c r="EW93" t="s">
        <v>188</v>
      </c>
      <c r="EX93" t="s">
        <v>188</v>
      </c>
      <c r="EY93" t="s">
        <v>188</v>
      </c>
      <c r="EZ93" t="s">
        <v>188</v>
      </c>
      <c r="FA93">
        <v>4</v>
      </c>
      <c r="FB93" t="s">
        <v>188</v>
      </c>
      <c r="FC93" t="s">
        <v>681</v>
      </c>
      <c r="FD93" t="s">
        <v>682</v>
      </c>
      <c r="FE93">
        <v>1111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 t="s">
        <v>188</v>
      </c>
      <c r="GF93" t="s">
        <v>188</v>
      </c>
      <c r="GG93" t="s">
        <v>188</v>
      </c>
      <c r="GH93" s="1">
        <v>44648</v>
      </c>
      <c r="GI93" t="s">
        <v>608</v>
      </c>
      <c r="GJ93" t="s">
        <v>609</v>
      </c>
      <c r="GK93" t="s">
        <v>610</v>
      </c>
      <c r="GL93">
        <v>0</v>
      </c>
      <c r="GM93">
        <v>0</v>
      </c>
      <c r="GN93">
        <v>101.6</v>
      </c>
      <c r="GO93">
        <v>76.2</v>
      </c>
      <c r="GP93">
        <v>0</v>
      </c>
      <c r="GQ93" t="s">
        <v>611</v>
      </c>
      <c r="GR93" s="1">
        <v>44965</v>
      </c>
      <c r="GV93" t="s">
        <v>188</v>
      </c>
      <c r="GW93" t="s">
        <v>188</v>
      </c>
      <c r="GX93" t="s">
        <v>188</v>
      </c>
      <c r="GY93" t="s">
        <v>188</v>
      </c>
      <c r="GZ93" t="s">
        <v>188</v>
      </c>
      <c r="HA93" t="s">
        <v>188</v>
      </c>
      <c r="HB93" t="s">
        <v>188</v>
      </c>
      <c r="HC93" t="s">
        <v>188</v>
      </c>
      <c r="HD93" t="s">
        <v>188</v>
      </c>
      <c r="HE93" t="s">
        <v>188</v>
      </c>
      <c r="HH93">
        <v>0</v>
      </c>
      <c r="HI93">
        <v>0</v>
      </c>
      <c r="HJ93">
        <v>96.37</v>
      </c>
      <c r="HK93">
        <v>71.989999999999995</v>
      </c>
      <c r="HL93">
        <v>510.76</v>
      </c>
      <c r="HN93" t="s">
        <v>188</v>
      </c>
      <c r="IS93">
        <v>0</v>
      </c>
      <c r="IT93">
        <v>0</v>
      </c>
      <c r="IU93">
        <v>0</v>
      </c>
      <c r="IV93">
        <v>0</v>
      </c>
      <c r="IW93">
        <v>0</v>
      </c>
      <c r="IX93" t="s">
        <v>1819</v>
      </c>
      <c r="IY93">
        <v>0</v>
      </c>
      <c r="IZ93">
        <v>0</v>
      </c>
      <c r="JA93">
        <v>0</v>
      </c>
      <c r="JB93">
        <v>0</v>
      </c>
      <c r="JC93" t="s">
        <v>613</v>
      </c>
      <c r="JD93" t="s">
        <v>1820</v>
      </c>
      <c r="JE93" t="s">
        <v>1821</v>
      </c>
      <c r="JF93">
        <v>2</v>
      </c>
      <c r="JG93" t="s">
        <v>1822</v>
      </c>
      <c r="JH93" t="s">
        <v>188</v>
      </c>
      <c r="JI93">
        <v>0</v>
      </c>
      <c r="JJ93" t="s">
        <v>188</v>
      </c>
      <c r="JK93">
        <v>483.22</v>
      </c>
      <c r="JL93">
        <v>0</v>
      </c>
      <c r="JM93">
        <v>1</v>
      </c>
    </row>
    <row r="94" spans="1:273" x14ac:dyDescent="0.3">
      <c r="A94" t="s">
        <v>1823</v>
      </c>
      <c r="B94" t="s">
        <v>302</v>
      </c>
      <c r="C94" t="s">
        <v>340</v>
      </c>
      <c r="D94" t="s">
        <v>657</v>
      </c>
      <c r="E94" t="s">
        <v>1824</v>
      </c>
      <c r="F94" t="s">
        <v>659</v>
      </c>
      <c r="G94">
        <v>5</v>
      </c>
      <c r="H94" t="s">
        <v>1825</v>
      </c>
      <c r="I94" t="s">
        <v>594</v>
      </c>
      <c r="J94" t="s">
        <v>993</v>
      </c>
      <c r="L94" t="s">
        <v>1824</v>
      </c>
      <c r="M94">
        <v>250</v>
      </c>
      <c r="N94">
        <v>4</v>
      </c>
      <c r="O94">
        <v>4</v>
      </c>
      <c r="P94">
        <v>1</v>
      </c>
      <c r="Q94">
        <v>10</v>
      </c>
      <c r="R94">
        <v>2</v>
      </c>
      <c r="S94">
        <v>0</v>
      </c>
      <c r="T94">
        <v>0</v>
      </c>
      <c r="U94">
        <v>0</v>
      </c>
      <c r="V94" t="s">
        <v>188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 t="s">
        <v>596</v>
      </c>
      <c r="AI94">
        <v>1</v>
      </c>
      <c r="AJ94" t="s">
        <v>199</v>
      </c>
      <c r="AK94">
        <v>1</v>
      </c>
      <c r="AL94">
        <v>50.5</v>
      </c>
      <c r="AM94">
        <v>453.5</v>
      </c>
      <c r="AN94">
        <v>0</v>
      </c>
      <c r="AO94">
        <v>0</v>
      </c>
      <c r="AP94">
        <v>0</v>
      </c>
      <c r="AQ94">
        <v>286</v>
      </c>
      <c r="AR94">
        <v>44.5</v>
      </c>
      <c r="AS94">
        <v>6.8</v>
      </c>
      <c r="AT94">
        <v>71.709999999999994</v>
      </c>
      <c r="AU94">
        <v>0</v>
      </c>
      <c r="AV94">
        <v>0</v>
      </c>
      <c r="AW94">
        <v>346.12</v>
      </c>
      <c r="AX94">
        <v>31.19</v>
      </c>
      <c r="AY94">
        <v>147.62</v>
      </c>
      <c r="AZ94">
        <v>10.25</v>
      </c>
      <c r="BA94">
        <v>44.5</v>
      </c>
      <c r="BB94">
        <v>0</v>
      </c>
      <c r="BC94">
        <v>40</v>
      </c>
      <c r="BD94">
        <v>92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500</v>
      </c>
      <c r="BN94">
        <v>900</v>
      </c>
      <c r="BO94">
        <v>0</v>
      </c>
      <c r="BP94">
        <v>0</v>
      </c>
      <c r="BQ94">
        <v>0</v>
      </c>
      <c r="BR94">
        <v>90</v>
      </c>
      <c r="BS94">
        <v>0</v>
      </c>
      <c r="BT94">
        <v>0</v>
      </c>
      <c r="BU94">
        <v>900</v>
      </c>
      <c r="BV94">
        <v>653</v>
      </c>
      <c r="BW94" t="s">
        <v>188</v>
      </c>
      <c r="BX94">
        <v>0</v>
      </c>
      <c r="BY94" t="s">
        <v>1826</v>
      </c>
      <c r="BZ94" t="s">
        <v>930</v>
      </c>
      <c r="CA94" t="s">
        <v>1827</v>
      </c>
      <c r="CB94" t="s">
        <v>1828</v>
      </c>
      <c r="CC94" t="s">
        <v>1829</v>
      </c>
      <c r="CD94" t="s">
        <v>188</v>
      </c>
      <c r="CE94" t="s">
        <v>1830</v>
      </c>
      <c r="CF94" t="s">
        <v>1831</v>
      </c>
      <c r="CG94" t="s">
        <v>1832</v>
      </c>
      <c r="CI94" t="s">
        <v>1833</v>
      </c>
      <c r="CK94" t="s">
        <v>970</v>
      </c>
      <c r="CL94" t="s">
        <v>1834</v>
      </c>
      <c r="CM94" t="s">
        <v>1835</v>
      </c>
      <c r="CN94" t="s">
        <v>1836</v>
      </c>
      <c r="CO94" t="s">
        <v>930</v>
      </c>
      <c r="CP94" t="s">
        <v>188</v>
      </c>
      <c r="CQ94" t="s">
        <v>188</v>
      </c>
      <c r="CR94">
        <v>75</v>
      </c>
      <c r="CS94">
        <v>0</v>
      </c>
      <c r="CT94" t="s">
        <v>1837</v>
      </c>
      <c r="CU94" t="s">
        <v>1838</v>
      </c>
      <c r="CV94" t="s">
        <v>1839</v>
      </c>
      <c r="CX94">
        <v>1030</v>
      </c>
      <c r="CY94">
        <v>1545</v>
      </c>
      <c r="CZ94">
        <v>1.5</v>
      </c>
      <c r="DA94">
        <v>0</v>
      </c>
      <c r="DB94" t="s">
        <v>1840</v>
      </c>
      <c r="DC94">
        <v>0</v>
      </c>
      <c r="DD94">
        <v>0</v>
      </c>
      <c r="DI94" t="s">
        <v>1841</v>
      </c>
      <c r="DJ94" t="s">
        <v>1842</v>
      </c>
      <c r="DK94">
        <v>250</v>
      </c>
      <c r="DQ94" t="s">
        <v>771</v>
      </c>
      <c r="DR94">
        <v>120</v>
      </c>
      <c r="DS94" t="s">
        <v>772</v>
      </c>
      <c r="DT94">
        <v>225</v>
      </c>
      <c r="DU94" t="s">
        <v>773</v>
      </c>
      <c r="DV94">
        <v>260</v>
      </c>
      <c r="DY94" t="s">
        <v>1843</v>
      </c>
      <c r="DZ94" t="s">
        <v>1843</v>
      </c>
      <c r="EA94" t="s">
        <v>1182</v>
      </c>
      <c r="EB94" t="s">
        <v>1844</v>
      </c>
      <c r="ED94" t="s">
        <v>1017</v>
      </c>
      <c r="EE94" t="s">
        <v>1845</v>
      </c>
      <c r="EW94" t="s">
        <v>188</v>
      </c>
      <c r="EX94" t="s">
        <v>188</v>
      </c>
      <c r="EY94" t="s">
        <v>188</v>
      </c>
      <c r="EZ94" t="s">
        <v>188</v>
      </c>
      <c r="FA94">
        <v>4</v>
      </c>
      <c r="FB94" t="s">
        <v>188</v>
      </c>
      <c r="FC94" t="s">
        <v>681</v>
      </c>
      <c r="FD94" t="s">
        <v>682</v>
      </c>
      <c r="FE94">
        <v>1.11111111111111E+19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 t="s">
        <v>188</v>
      </c>
      <c r="GF94" t="s">
        <v>188</v>
      </c>
      <c r="GG94" t="s">
        <v>188</v>
      </c>
      <c r="GH94" t="s">
        <v>188</v>
      </c>
      <c r="GJ94">
        <v>0</v>
      </c>
      <c r="GK94" t="s">
        <v>610</v>
      </c>
      <c r="GL94">
        <v>0</v>
      </c>
      <c r="GM94">
        <v>0</v>
      </c>
      <c r="GN94">
        <v>305</v>
      </c>
      <c r="GO94">
        <v>254</v>
      </c>
      <c r="GP94">
        <v>0</v>
      </c>
      <c r="GR94" s="1">
        <v>44876</v>
      </c>
      <c r="GV94" t="s">
        <v>188</v>
      </c>
      <c r="GW94" t="s">
        <v>188</v>
      </c>
      <c r="GX94" t="s">
        <v>188</v>
      </c>
      <c r="GY94" t="s">
        <v>188</v>
      </c>
      <c r="GZ94" t="s">
        <v>188</v>
      </c>
      <c r="HA94" t="s">
        <v>188</v>
      </c>
      <c r="HB94" t="s">
        <v>188</v>
      </c>
      <c r="HC94" t="s">
        <v>188</v>
      </c>
      <c r="HD94" t="s">
        <v>188</v>
      </c>
      <c r="HE94" t="s">
        <v>188</v>
      </c>
      <c r="HH94">
        <v>0</v>
      </c>
      <c r="HI94">
        <v>0</v>
      </c>
      <c r="HJ94">
        <v>42.35</v>
      </c>
      <c r="HK94">
        <v>27.09</v>
      </c>
      <c r="HL94">
        <v>159.36000000000001</v>
      </c>
      <c r="HN94" t="s">
        <v>188</v>
      </c>
      <c r="IS94">
        <v>0</v>
      </c>
      <c r="IT94">
        <v>0</v>
      </c>
      <c r="IU94">
        <v>0</v>
      </c>
      <c r="IV94">
        <v>0</v>
      </c>
      <c r="IW94">
        <v>0</v>
      </c>
      <c r="IX94" t="s">
        <v>1846</v>
      </c>
      <c r="IY94">
        <v>0</v>
      </c>
      <c r="IZ94">
        <v>0</v>
      </c>
      <c r="JA94">
        <v>0</v>
      </c>
      <c r="JB94">
        <v>0</v>
      </c>
      <c r="JC94" t="s">
        <v>613</v>
      </c>
      <c r="JD94" t="s">
        <v>1847</v>
      </c>
      <c r="JE94" t="s">
        <v>1848</v>
      </c>
      <c r="JF94">
        <v>2</v>
      </c>
      <c r="JG94" t="s">
        <v>1849</v>
      </c>
      <c r="JH94" t="s">
        <v>188</v>
      </c>
      <c r="JI94">
        <v>0</v>
      </c>
      <c r="JJ94" t="s">
        <v>188</v>
      </c>
      <c r="JK94">
        <v>166.21</v>
      </c>
      <c r="JL94">
        <v>16.7</v>
      </c>
      <c r="JM94">
        <v>4</v>
      </c>
    </row>
    <row r="95" spans="1:273" x14ac:dyDescent="0.3">
      <c r="A95" t="s">
        <v>1850</v>
      </c>
      <c r="B95" t="s">
        <v>302</v>
      </c>
      <c r="C95" t="s">
        <v>340</v>
      </c>
      <c r="D95" t="s">
        <v>657</v>
      </c>
      <c r="E95" t="s">
        <v>1824</v>
      </c>
      <c r="F95" t="s">
        <v>592</v>
      </c>
      <c r="G95">
        <v>5</v>
      </c>
      <c r="H95" t="s">
        <v>1851</v>
      </c>
      <c r="I95" t="s">
        <v>594</v>
      </c>
      <c r="J95" t="s">
        <v>661</v>
      </c>
      <c r="N95">
        <v>3</v>
      </c>
      <c r="O95">
        <v>3</v>
      </c>
      <c r="P95">
        <v>1</v>
      </c>
      <c r="Q95">
        <v>9</v>
      </c>
      <c r="R95">
        <v>2</v>
      </c>
      <c r="S95">
        <v>0</v>
      </c>
      <c r="T95">
        <v>0</v>
      </c>
      <c r="U95">
        <v>0</v>
      </c>
      <c r="V95" t="s">
        <v>188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 t="s">
        <v>596</v>
      </c>
      <c r="AI95">
        <v>1</v>
      </c>
      <c r="AJ95" t="s">
        <v>199</v>
      </c>
      <c r="AK95">
        <v>1</v>
      </c>
      <c r="AL95">
        <v>136.5</v>
      </c>
      <c r="AM95">
        <v>859.4</v>
      </c>
      <c r="AN95">
        <v>0</v>
      </c>
      <c r="AO95">
        <v>0</v>
      </c>
      <c r="AP95">
        <v>0</v>
      </c>
      <c r="AQ95">
        <v>425</v>
      </c>
      <c r="AR95">
        <v>65.599999999999994</v>
      </c>
      <c r="AS95">
        <v>38.4</v>
      </c>
      <c r="AT95">
        <v>79.010000000000005</v>
      </c>
      <c r="AU95">
        <v>0</v>
      </c>
      <c r="AV95">
        <v>0</v>
      </c>
      <c r="AW95">
        <v>641.71</v>
      </c>
      <c r="AX95">
        <v>48.25</v>
      </c>
      <c r="AY95">
        <v>384.2</v>
      </c>
      <c r="AZ95">
        <v>12.5</v>
      </c>
      <c r="BA95">
        <v>65.599999999999994</v>
      </c>
      <c r="BB95">
        <v>0</v>
      </c>
      <c r="BC95">
        <v>42</v>
      </c>
      <c r="BD95">
        <v>114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400</v>
      </c>
      <c r="BN95">
        <v>950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950</v>
      </c>
      <c r="BV95">
        <v>653</v>
      </c>
      <c r="BW95" t="s">
        <v>188</v>
      </c>
      <c r="BX95">
        <v>0</v>
      </c>
      <c r="BY95" t="s">
        <v>1852</v>
      </c>
      <c r="CA95" t="s">
        <v>1853</v>
      </c>
      <c r="CB95" t="s">
        <v>1854</v>
      </c>
      <c r="CC95" t="s">
        <v>1855</v>
      </c>
      <c r="CD95" t="s">
        <v>188</v>
      </c>
      <c r="CE95" t="s">
        <v>1856</v>
      </c>
      <c r="CF95" t="s">
        <v>1857</v>
      </c>
      <c r="CG95" t="s">
        <v>1858</v>
      </c>
      <c r="CI95" t="s">
        <v>1859</v>
      </c>
      <c r="CK95" t="s">
        <v>1490</v>
      </c>
      <c r="CL95" t="s">
        <v>1860</v>
      </c>
      <c r="CM95" t="s">
        <v>1861</v>
      </c>
      <c r="CN95" t="s">
        <v>1862</v>
      </c>
      <c r="CO95" t="s">
        <v>674</v>
      </c>
      <c r="CP95" t="s">
        <v>188</v>
      </c>
      <c r="CQ95" t="s">
        <v>188</v>
      </c>
      <c r="CR95">
        <v>80</v>
      </c>
      <c r="CS95">
        <v>0</v>
      </c>
      <c r="CX95">
        <v>0</v>
      </c>
      <c r="CY95">
        <v>0</v>
      </c>
      <c r="CZ95">
        <v>0</v>
      </c>
      <c r="DA95">
        <v>0</v>
      </c>
      <c r="DC95">
        <v>0</v>
      </c>
      <c r="DD95">
        <v>0</v>
      </c>
      <c r="DI95" t="s">
        <v>1851</v>
      </c>
      <c r="DQ95" t="s">
        <v>773</v>
      </c>
      <c r="DR95">
        <v>260</v>
      </c>
      <c r="DS95" t="s">
        <v>1046</v>
      </c>
      <c r="DT95">
        <v>425</v>
      </c>
      <c r="EW95" t="s">
        <v>188</v>
      </c>
      <c r="EX95" t="s">
        <v>188</v>
      </c>
      <c r="EY95" t="s">
        <v>188</v>
      </c>
      <c r="EZ95" t="s">
        <v>188</v>
      </c>
      <c r="FA95">
        <v>4</v>
      </c>
      <c r="FB95" t="s">
        <v>188</v>
      </c>
      <c r="FC95" t="s">
        <v>681</v>
      </c>
      <c r="FD95" t="s">
        <v>682</v>
      </c>
      <c r="FE95">
        <v>1.11111111111111E+27</v>
      </c>
      <c r="FF95">
        <v>0</v>
      </c>
      <c r="FG95">
        <v>900</v>
      </c>
      <c r="FH95">
        <v>9</v>
      </c>
      <c r="FI95">
        <v>1</v>
      </c>
      <c r="FJ95">
        <v>5</v>
      </c>
      <c r="FK95">
        <v>0</v>
      </c>
      <c r="FL95">
        <v>70</v>
      </c>
      <c r="FM95">
        <v>7</v>
      </c>
      <c r="FN95">
        <v>1</v>
      </c>
      <c r="FO95">
        <v>5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 t="s">
        <v>188</v>
      </c>
      <c r="GF95" t="s">
        <v>188</v>
      </c>
      <c r="GG95" t="s">
        <v>188</v>
      </c>
      <c r="GH95" s="1">
        <v>45098</v>
      </c>
      <c r="GJ95" t="s">
        <v>610</v>
      </c>
      <c r="GK95" t="s">
        <v>610</v>
      </c>
      <c r="GL95">
        <v>0</v>
      </c>
      <c r="GM95">
        <v>0</v>
      </c>
      <c r="GN95">
        <v>355.6</v>
      </c>
      <c r="GO95">
        <v>304.8</v>
      </c>
      <c r="GP95">
        <v>0</v>
      </c>
      <c r="GR95" s="1">
        <v>45098</v>
      </c>
      <c r="GV95" t="s">
        <v>188</v>
      </c>
      <c r="GW95" t="s">
        <v>188</v>
      </c>
      <c r="GX95" t="s">
        <v>188</v>
      </c>
      <c r="GY95" t="s">
        <v>188</v>
      </c>
      <c r="GZ95" t="s">
        <v>188</v>
      </c>
      <c r="HA95" t="s">
        <v>188</v>
      </c>
      <c r="HB95" t="s">
        <v>188</v>
      </c>
      <c r="HC95" t="s">
        <v>188</v>
      </c>
      <c r="HD95" t="s">
        <v>188</v>
      </c>
      <c r="HE95" t="s">
        <v>188</v>
      </c>
      <c r="HH95">
        <v>0</v>
      </c>
      <c r="HI95">
        <v>0</v>
      </c>
      <c r="HJ95">
        <v>65.41</v>
      </c>
      <c r="HK95">
        <v>42.54</v>
      </c>
      <c r="HL95">
        <v>412.96</v>
      </c>
      <c r="HN95" t="s">
        <v>188</v>
      </c>
      <c r="IS95">
        <v>0</v>
      </c>
      <c r="IT95">
        <v>0</v>
      </c>
      <c r="IU95">
        <v>0</v>
      </c>
      <c r="IV95">
        <v>0</v>
      </c>
      <c r="IW95">
        <v>0</v>
      </c>
      <c r="IX95" t="s">
        <v>1863</v>
      </c>
      <c r="IY95">
        <v>0</v>
      </c>
      <c r="IZ95">
        <v>0</v>
      </c>
      <c r="JA95">
        <v>0</v>
      </c>
      <c r="JB95">
        <v>0</v>
      </c>
      <c r="JC95" t="s">
        <v>613</v>
      </c>
      <c r="JD95" t="s">
        <v>1864</v>
      </c>
      <c r="JE95" t="s">
        <v>1865</v>
      </c>
      <c r="JF95">
        <v>2</v>
      </c>
      <c r="JG95" t="s">
        <v>1866</v>
      </c>
      <c r="JH95" t="s">
        <v>188</v>
      </c>
      <c r="JI95">
        <v>0</v>
      </c>
      <c r="JJ95" t="s">
        <v>188</v>
      </c>
      <c r="JK95">
        <v>431.39</v>
      </c>
      <c r="JL95">
        <v>18.600000000000001</v>
      </c>
      <c r="JM95">
        <v>3</v>
      </c>
    </row>
    <row r="96" spans="1:273" x14ac:dyDescent="0.3">
      <c r="A96" t="s">
        <v>1867</v>
      </c>
      <c r="B96" t="s">
        <v>302</v>
      </c>
      <c r="C96" t="s">
        <v>340</v>
      </c>
      <c r="D96" t="s">
        <v>657</v>
      </c>
      <c r="E96" t="s">
        <v>1824</v>
      </c>
      <c r="F96" t="s">
        <v>592</v>
      </c>
      <c r="G96">
        <v>5</v>
      </c>
      <c r="H96" t="s">
        <v>1868</v>
      </c>
      <c r="I96" t="s">
        <v>594</v>
      </c>
      <c r="J96" t="s">
        <v>661</v>
      </c>
      <c r="N96">
        <v>2</v>
      </c>
      <c r="O96">
        <v>2</v>
      </c>
      <c r="P96">
        <v>1</v>
      </c>
      <c r="Q96">
        <v>9</v>
      </c>
      <c r="R96">
        <v>2</v>
      </c>
      <c r="S96">
        <v>0</v>
      </c>
      <c r="T96">
        <v>0</v>
      </c>
      <c r="U96">
        <v>0</v>
      </c>
      <c r="V96" t="s">
        <v>188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 t="s">
        <v>596</v>
      </c>
      <c r="AI96">
        <v>1</v>
      </c>
      <c r="AJ96" t="s">
        <v>199</v>
      </c>
      <c r="AK96">
        <v>1</v>
      </c>
      <c r="AL96">
        <v>66.900000000000006</v>
      </c>
      <c r="AM96">
        <v>889.1</v>
      </c>
      <c r="AN96">
        <v>0</v>
      </c>
      <c r="AO96">
        <v>0</v>
      </c>
      <c r="AP96">
        <v>0</v>
      </c>
      <c r="AQ96">
        <v>425</v>
      </c>
      <c r="AR96">
        <v>61.1</v>
      </c>
      <c r="AS96">
        <v>9.8000000000000007</v>
      </c>
      <c r="AT96">
        <v>81.13</v>
      </c>
      <c r="AU96">
        <v>0</v>
      </c>
      <c r="AV96">
        <v>0</v>
      </c>
      <c r="AW96">
        <v>769.55</v>
      </c>
      <c r="AX96">
        <v>47.13</v>
      </c>
      <c r="AY96">
        <v>438.3</v>
      </c>
      <c r="AZ96">
        <v>12.88</v>
      </c>
      <c r="BA96">
        <v>61.1</v>
      </c>
      <c r="BB96">
        <v>0</v>
      </c>
      <c r="BC96">
        <v>41</v>
      </c>
      <c r="BD96">
        <v>108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400</v>
      </c>
      <c r="BN96">
        <v>840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840</v>
      </c>
      <c r="BV96">
        <v>736</v>
      </c>
      <c r="BW96" t="s">
        <v>188</v>
      </c>
      <c r="BX96">
        <v>0</v>
      </c>
      <c r="BY96" t="s">
        <v>1869</v>
      </c>
      <c r="CA96" t="s">
        <v>1870</v>
      </c>
      <c r="CB96" t="s">
        <v>1871</v>
      </c>
      <c r="CC96" t="s">
        <v>1872</v>
      </c>
      <c r="CD96" t="s">
        <v>188</v>
      </c>
      <c r="CE96" t="s">
        <v>1873</v>
      </c>
      <c r="CF96" t="s">
        <v>1874</v>
      </c>
      <c r="CG96" t="s">
        <v>1875</v>
      </c>
      <c r="CI96" t="s">
        <v>1876</v>
      </c>
      <c r="CK96" t="s">
        <v>941</v>
      </c>
      <c r="CL96" t="s">
        <v>1877</v>
      </c>
      <c r="CM96" t="s">
        <v>1878</v>
      </c>
      <c r="CN96" t="s">
        <v>1879</v>
      </c>
      <c r="CO96" t="s">
        <v>863</v>
      </c>
      <c r="CP96" t="s">
        <v>188</v>
      </c>
      <c r="CQ96" t="s">
        <v>188</v>
      </c>
      <c r="CR96">
        <v>75</v>
      </c>
      <c r="CS96">
        <v>0</v>
      </c>
      <c r="CX96">
        <v>0</v>
      </c>
      <c r="CY96">
        <v>0</v>
      </c>
      <c r="CZ96">
        <v>0</v>
      </c>
      <c r="DA96">
        <v>0</v>
      </c>
      <c r="DC96">
        <v>0</v>
      </c>
      <c r="DD96">
        <v>0</v>
      </c>
      <c r="DI96" t="s">
        <v>1868</v>
      </c>
      <c r="DQ96" t="s">
        <v>1046</v>
      </c>
      <c r="DR96">
        <v>425</v>
      </c>
      <c r="EW96" t="s">
        <v>188</v>
      </c>
      <c r="EX96" t="s">
        <v>188</v>
      </c>
      <c r="EY96" t="s">
        <v>188</v>
      </c>
      <c r="EZ96" t="s">
        <v>188</v>
      </c>
      <c r="FA96">
        <v>4</v>
      </c>
      <c r="FB96" t="s">
        <v>188</v>
      </c>
      <c r="FC96" t="s">
        <v>681</v>
      </c>
      <c r="FD96" t="s">
        <v>682</v>
      </c>
      <c r="FE96">
        <v>1.11111111111111E+19</v>
      </c>
      <c r="FF96">
        <v>0</v>
      </c>
      <c r="FG96">
        <v>1000</v>
      </c>
      <c r="FH96">
        <v>5</v>
      </c>
      <c r="FI96">
        <v>1</v>
      </c>
      <c r="FJ96">
        <v>4</v>
      </c>
      <c r="FK96">
        <v>0</v>
      </c>
      <c r="FL96">
        <v>70</v>
      </c>
      <c r="FM96">
        <v>7</v>
      </c>
      <c r="FN96">
        <v>1</v>
      </c>
      <c r="FO96">
        <v>5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 t="s">
        <v>188</v>
      </c>
      <c r="GF96" t="s">
        <v>188</v>
      </c>
      <c r="GG96" t="s">
        <v>188</v>
      </c>
      <c r="GH96" s="1">
        <v>45097</v>
      </c>
      <c r="GJ96" t="s">
        <v>610</v>
      </c>
      <c r="GK96" t="s">
        <v>812</v>
      </c>
      <c r="GL96">
        <v>0</v>
      </c>
      <c r="GM96">
        <v>0</v>
      </c>
      <c r="GN96">
        <v>406.4</v>
      </c>
      <c r="GO96">
        <v>355.6</v>
      </c>
      <c r="GP96">
        <v>0</v>
      </c>
      <c r="GR96" s="1">
        <v>45875</v>
      </c>
      <c r="GV96" t="s">
        <v>188</v>
      </c>
      <c r="GW96" t="s">
        <v>188</v>
      </c>
      <c r="GX96" t="s">
        <v>188</v>
      </c>
      <c r="GY96" t="s">
        <v>188</v>
      </c>
      <c r="GZ96" t="s">
        <v>188</v>
      </c>
      <c r="HA96" t="s">
        <v>188</v>
      </c>
      <c r="HB96" t="s">
        <v>188</v>
      </c>
      <c r="HC96" t="s">
        <v>188</v>
      </c>
      <c r="HD96" t="s">
        <v>188</v>
      </c>
      <c r="HE96" t="s">
        <v>188</v>
      </c>
      <c r="HH96">
        <v>0</v>
      </c>
      <c r="HI96">
        <v>0</v>
      </c>
      <c r="HJ96">
        <v>61.52</v>
      </c>
      <c r="HK96">
        <v>41.54</v>
      </c>
      <c r="HL96">
        <v>477.05</v>
      </c>
      <c r="HN96" t="s">
        <v>188</v>
      </c>
      <c r="IS96">
        <v>0</v>
      </c>
      <c r="IT96">
        <v>0</v>
      </c>
      <c r="IU96">
        <v>0</v>
      </c>
      <c r="IV96">
        <v>0</v>
      </c>
      <c r="IW96">
        <v>0</v>
      </c>
      <c r="IX96" t="s">
        <v>683</v>
      </c>
      <c r="IY96">
        <v>0</v>
      </c>
      <c r="IZ96">
        <v>0</v>
      </c>
      <c r="JA96">
        <v>0</v>
      </c>
      <c r="JB96">
        <v>0</v>
      </c>
      <c r="JC96" t="s">
        <v>613</v>
      </c>
      <c r="JD96" t="s">
        <v>1880</v>
      </c>
      <c r="JE96" t="s">
        <v>1881</v>
      </c>
      <c r="JF96">
        <v>2</v>
      </c>
      <c r="JG96" t="s">
        <v>1882</v>
      </c>
      <c r="JH96" t="s">
        <v>188</v>
      </c>
      <c r="JI96">
        <v>0</v>
      </c>
      <c r="JJ96">
        <v>0</v>
      </c>
      <c r="JK96">
        <v>466.34</v>
      </c>
      <c r="JL96">
        <v>15.4</v>
      </c>
      <c r="JM96">
        <v>2</v>
      </c>
    </row>
    <row r="97" spans="1:273" x14ac:dyDescent="0.3">
      <c r="A97" t="s">
        <v>1883</v>
      </c>
      <c r="B97" t="s">
        <v>302</v>
      </c>
      <c r="C97" t="s">
        <v>340</v>
      </c>
      <c r="D97" t="s">
        <v>590</v>
      </c>
      <c r="E97" t="s">
        <v>1884</v>
      </c>
      <c r="F97" t="s">
        <v>659</v>
      </c>
      <c r="G97">
        <v>4</v>
      </c>
      <c r="H97" t="s">
        <v>1885</v>
      </c>
      <c r="I97" t="s">
        <v>302</v>
      </c>
      <c r="J97" t="s">
        <v>993</v>
      </c>
      <c r="N97">
        <v>1</v>
      </c>
      <c r="O97">
        <v>1</v>
      </c>
      <c r="P97">
        <v>1</v>
      </c>
      <c r="Q97">
        <v>9</v>
      </c>
      <c r="R97">
        <v>2</v>
      </c>
      <c r="S97">
        <v>0</v>
      </c>
      <c r="T97">
        <v>0</v>
      </c>
      <c r="U97">
        <v>0</v>
      </c>
      <c r="V97" t="s">
        <v>188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 t="s">
        <v>869</v>
      </c>
      <c r="AI97">
        <v>0.2777</v>
      </c>
      <c r="AJ97" t="s">
        <v>199</v>
      </c>
      <c r="AK97">
        <v>1</v>
      </c>
      <c r="AL97">
        <v>357.9</v>
      </c>
      <c r="AM97">
        <v>1554</v>
      </c>
      <c r="AN97">
        <v>0</v>
      </c>
      <c r="AO97">
        <v>0</v>
      </c>
      <c r="AP97">
        <v>0</v>
      </c>
      <c r="AQ97">
        <v>0</v>
      </c>
      <c r="AR97">
        <v>71.400000000000006</v>
      </c>
      <c r="AS97">
        <v>56.9</v>
      </c>
      <c r="AT97">
        <v>79.739999999999995</v>
      </c>
      <c r="AU97">
        <v>0</v>
      </c>
      <c r="AV97">
        <v>0</v>
      </c>
      <c r="AW97">
        <v>1157.6300000000001</v>
      </c>
      <c r="AX97">
        <v>63.82</v>
      </c>
      <c r="AY97">
        <v>252.24</v>
      </c>
      <c r="AZ97">
        <v>6.41</v>
      </c>
      <c r="BA97">
        <v>71.400000000000006</v>
      </c>
      <c r="BB97">
        <v>0</v>
      </c>
      <c r="BC97">
        <v>19</v>
      </c>
      <c r="BD97">
        <v>106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300</v>
      </c>
      <c r="BN97">
        <v>750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750</v>
      </c>
      <c r="BV97">
        <v>813</v>
      </c>
      <c r="BW97" t="s">
        <v>188</v>
      </c>
      <c r="BX97">
        <v>0</v>
      </c>
      <c r="BY97" t="s">
        <v>1883</v>
      </c>
      <c r="CA97">
        <v>750</v>
      </c>
      <c r="CB97">
        <v>71.400000000000006</v>
      </c>
      <c r="CC97">
        <v>1579</v>
      </c>
      <c r="CD97" t="s">
        <v>188</v>
      </c>
      <c r="CE97" t="s">
        <v>1886</v>
      </c>
      <c r="CF97" t="s">
        <v>1887</v>
      </c>
      <c r="CG97" t="s">
        <v>1888</v>
      </c>
      <c r="CI97" t="s">
        <v>1889</v>
      </c>
      <c r="CK97">
        <v>100</v>
      </c>
      <c r="CL97" t="s">
        <v>1890</v>
      </c>
      <c r="CM97" t="s">
        <v>1891</v>
      </c>
      <c r="CN97" t="s">
        <v>1892</v>
      </c>
      <c r="CO97">
        <v>0</v>
      </c>
      <c r="CP97" t="s">
        <v>188</v>
      </c>
      <c r="CQ97" t="s">
        <v>188</v>
      </c>
      <c r="CR97">
        <v>98</v>
      </c>
      <c r="CS97">
        <v>0</v>
      </c>
      <c r="CX97">
        <v>0</v>
      </c>
      <c r="CY97">
        <v>0</v>
      </c>
      <c r="CZ97">
        <v>0</v>
      </c>
      <c r="DA97">
        <v>0</v>
      </c>
      <c r="DC97">
        <v>0</v>
      </c>
      <c r="DD97">
        <v>0</v>
      </c>
      <c r="DQ97" t="s">
        <v>837</v>
      </c>
      <c r="DR97">
        <v>425</v>
      </c>
      <c r="DT97">
        <v>2</v>
      </c>
      <c r="DV97">
        <v>5</v>
      </c>
      <c r="EW97" t="s">
        <v>188</v>
      </c>
      <c r="EX97" t="s">
        <v>188</v>
      </c>
      <c r="EY97" t="s">
        <v>188</v>
      </c>
      <c r="EZ97" t="s">
        <v>188</v>
      </c>
      <c r="FA97">
        <v>4</v>
      </c>
      <c r="FB97" t="s">
        <v>188</v>
      </c>
      <c r="FC97" t="s">
        <v>681</v>
      </c>
      <c r="FD97" t="s">
        <v>682</v>
      </c>
      <c r="FE97">
        <v>1.1111111111111101E+31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 t="s">
        <v>188</v>
      </c>
      <c r="GF97" t="s">
        <v>188</v>
      </c>
      <c r="GG97" t="s">
        <v>188</v>
      </c>
      <c r="GH97" s="1">
        <v>46218</v>
      </c>
      <c r="GJ97" t="s">
        <v>812</v>
      </c>
      <c r="GK97" t="s">
        <v>812</v>
      </c>
      <c r="GL97">
        <v>0</v>
      </c>
      <c r="GM97">
        <v>0</v>
      </c>
      <c r="GN97">
        <v>254</v>
      </c>
      <c r="GO97">
        <v>203</v>
      </c>
      <c r="GP97">
        <v>0</v>
      </c>
      <c r="GR97" s="1">
        <v>46231</v>
      </c>
      <c r="GV97" t="s">
        <v>188</v>
      </c>
      <c r="GW97" t="s">
        <v>188</v>
      </c>
      <c r="GX97" t="s">
        <v>188</v>
      </c>
      <c r="GY97" t="s">
        <v>188</v>
      </c>
      <c r="GZ97" t="s">
        <v>188</v>
      </c>
      <c r="HA97" t="s">
        <v>188</v>
      </c>
      <c r="HB97" t="s">
        <v>188</v>
      </c>
      <c r="HC97" t="s">
        <v>188</v>
      </c>
      <c r="HD97" t="s">
        <v>188</v>
      </c>
      <c r="HE97" t="s">
        <v>188</v>
      </c>
      <c r="HH97">
        <v>0</v>
      </c>
      <c r="HI97">
        <v>0</v>
      </c>
      <c r="HJ97">
        <v>72.77</v>
      </c>
      <c r="HK97">
        <v>59.78</v>
      </c>
      <c r="HL97">
        <v>287.3</v>
      </c>
      <c r="HN97" t="s">
        <v>188</v>
      </c>
      <c r="IS97">
        <v>0</v>
      </c>
      <c r="IT97">
        <v>0</v>
      </c>
      <c r="IU97">
        <v>0</v>
      </c>
      <c r="IV97">
        <v>0</v>
      </c>
      <c r="IW97">
        <v>0</v>
      </c>
      <c r="IX97" t="s">
        <v>1893</v>
      </c>
      <c r="IY97">
        <v>0</v>
      </c>
      <c r="IZ97">
        <v>0</v>
      </c>
      <c r="JA97">
        <v>0</v>
      </c>
      <c r="JB97">
        <v>0</v>
      </c>
      <c r="JC97" t="s">
        <v>613</v>
      </c>
      <c r="JD97" t="s">
        <v>1894</v>
      </c>
      <c r="JE97" t="s">
        <v>1895</v>
      </c>
      <c r="JF97">
        <v>0</v>
      </c>
      <c r="JG97" t="s">
        <v>1896</v>
      </c>
      <c r="JH97" t="s">
        <v>188</v>
      </c>
      <c r="JI97">
        <v>0</v>
      </c>
      <c r="JJ97">
        <v>0</v>
      </c>
      <c r="JK97">
        <v>314.32</v>
      </c>
      <c r="JL97">
        <v>0</v>
      </c>
      <c r="JM97">
        <v>1</v>
      </c>
    </row>
    <row r="98" spans="1:273" x14ac:dyDescent="0.3">
      <c r="A98" t="s">
        <v>1897</v>
      </c>
      <c r="B98" t="s">
        <v>302</v>
      </c>
      <c r="C98" t="s">
        <v>340</v>
      </c>
      <c r="D98" t="s">
        <v>590</v>
      </c>
      <c r="E98" t="s">
        <v>1884</v>
      </c>
      <c r="F98" t="s">
        <v>592</v>
      </c>
      <c r="G98">
        <v>4</v>
      </c>
      <c r="H98" t="s">
        <v>1898</v>
      </c>
      <c r="I98" t="s">
        <v>302</v>
      </c>
      <c r="J98" t="s">
        <v>661</v>
      </c>
      <c r="N98">
        <v>1</v>
      </c>
      <c r="O98">
        <v>1</v>
      </c>
      <c r="P98">
        <v>1</v>
      </c>
      <c r="Q98">
        <v>11</v>
      </c>
      <c r="R98">
        <v>2</v>
      </c>
      <c r="S98">
        <v>0</v>
      </c>
      <c r="T98">
        <v>0</v>
      </c>
      <c r="U98">
        <v>0</v>
      </c>
      <c r="V98" t="s">
        <v>188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  <c r="AH98" t="s">
        <v>869</v>
      </c>
      <c r="AI98">
        <v>0.2777</v>
      </c>
      <c r="AJ98" t="s">
        <v>199</v>
      </c>
      <c r="AK98">
        <v>1</v>
      </c>
      <c r="AL98">
        <v>2527</v>
      </c>
      <c r="AM98">
        <v>9837</v>
      </c>
      <c r="AN98">
        <v>0</v>
      </c>
      <c r="AO98">
        <v>0</v>
      </c>
      <c r="AP98">
        <v>0</v>
      </c>
      <c r="AQ98">
        <v>2000</v>
      </c>
      <c r="AR98">
        <v>71.099999999999994</v>
      </c>
      <c r="AS98">
        <v>49.8</v>
      </c>
      <c r="AT98">
        <v>85.23</v>
      </c>
      <c r="AU98">
        <v>0</v>
      </c>
      <c r="AV98">
        <v>0</v>
      </c>
      <c r="AW98">
        <v>7156.35</v>
      </c>
      <c r="AX98">
        <v>60.48</v>
      </c>
      <c r="AY98">
        <v>1382.58</v>
      </c>
      <c r="AZ98">
        <v>6.93</v>
      </c>
      <c r="BA98">
        <v>71.099999999999994</v>
      </c>
      <c r="BB98">
        <v>0</v>
      </c>
      <c r="BC98">
        <v>26</v>
      </c>
      <c r="BD98">
        <v>132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250</v>
      </c>
      <c r="BN98">
        <v>400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400</v>
      </c>
      <c r="BV98">
        <v>1580</v>
      </c>
      <c r="BW98" t="s">
        <v>188</v>
      </c>
      <c r="BX98">
        <v>0</v>
      </c>
      <c r="BY98" t="s">
        <v>1899</v>
      </c>
      <c r="CA98">
        <v>400</v>
      </c>
      <c r="CB98">
        <v>71.099999999999994</v>
      </c>
      <c r="CC98">
        <v>9837</v>
      </c>
      <c r="CD98" t="s">
        <v>188</v>
      </c>
      <c r="CE98" t="s">
        <v>1900</v>
      </c>
      <c r="CF98" t="s">
        <v>1901</v>
      </c>
      <c r="CG98" t="s">
        <v>1902</v>
      </c>
      <c r="CI98" t="s">
        <v>1903</v>
      </c>
      <c r="CK98">
        <v>250</v>
      </c>
      <c r="CL98" t="s">
        <v>1904</v>
      </c>
      <c r="CM98" t="s">
        <v>1905</v>
      </c>
      <c r="CN98" t="s">
        <v>1906</v>
      </c>
      <c r="CO98">
        <v>0</v>
      </c>
      <c r="CP98" t="s">
        <v>188</v>
      </c>
      <c r="CQ98" t="s">
        <v>188</v>
      </c>
      <c r="CR98">
        <v>216</v>
      </c>
      <c r="CS98">
        <v>0</v>
      </c>
      <c r="CX98">
        <v>0</v>
      </c>
      <c r="CY98">
        <v>0</v>
      </c>
      <c r="CZ98">
        <v>0</v>
      </c>
      <c r="DA98">
        <v>0</v>
      </c>
      <c r="DC98">
        <v>0</v>
      </c>
      <c r="DD98">
        <v>0</v>
      </c>
      <c r="EW98" t="s">
        <v>188</v>
      </c>
      <c r="EX98" t="s">
        <v>188</v>
      </c>
      <c r="EY98" t="s">
        <v>188</v>
      </c>
      <c r="EZ98" t="s">
        <v>188</v>
      </c>
      <c r="FA98">
        <v>4</v>
      </c>
      <c r="FB98" t="s">
        <v>188</v>
      </c>
      <c r="FC98" t="s">
        <v>681</v>
      </c>
      <c r="FD98" t="s">
        <v>682</v>
      </c>
      <c r="FE98">
        <v>1.11111111111111E+19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 t="s">
        <v>188</v>
      </c>
      <c r="GF98" t="s">
        <v>188</v>
      </c>
      <c r="GG98" t="s">
        <v>188</v>
      </c>
      <c r="GH98" s="1">
        <v>45363</v>
      </c>
      <c r="GJ98" t="s">
        <v>812</v>
      </c>
      <c r="GK98" t="s">
        <v>812</v>
      </c>
      <c r="GL98">
        <v>0</v>
      </c>
      <c r="GM98">
        <v>0</v>
      </c>
      <c r="GN98">
        <v>660.4</v>
      </c>
      <c r="GO98">
        <v>660</v>
      </c>
      <c r="GP98">
        <v>0</v>
      </c>
      <c r="GR98" s="1">
        <v>45364</v>
      </c>
      <c r="GV98" t="s">
        <v>188</v>
      </c>
      <c r="GW98" t="s">
        <v>188</v>
      </c>
      <c r="GX98" t="s">
        <v>188</v>
      </c>
      <c r="GY98" t="s">
        <v>188</v>
      </c>
      <c r="GZ98" t="s">
        <v>188</v>
      </c>
      <c r="HA98" t="s">
        <v>188</v>
      </c>
      <c r="HB98" t="s">
        <v>188</v>
      </c>
      <c r="HC98" t="s">
        <v>188</v>
      </c>
      <c r="HD98" t="s">
        <v>188</v>
      </c>
      <c r="HE98" t="s">
        <v>188</v>
      </c>
      <c r="HH98">
        <v>0</v>
      </c>
      <c r="HI98">
        <v>0</v>
      </c>
      <c r="HJ98">
        <v>70.760000000000005</v>
      </c>
      <c r="HK98">
        <v>55.04</v>
      </c>
      <c r="HL98">
        <v>1532.15</v>
      </c>
      <c r="HN98" t="s">
        <v>188</v>
      </c>
      <c r="IS98">
        <v>0</v>
      </c>
      <c r="IT98">
        <v>0</v>
      </c>
      <c r="IU98">
        <v>0</v>
      </c>
      <c r="IV98">
        <v>0</v>
      </c>
      <c r="IW98">
        <v>0</v>
      </c>
      <c r="IX98" t="s">
        <v>1907</v>
      </c>
      <c r="IY98">
        <v>0</v>
      </c>
      <c r="IZ98">
        <v>0</v>
      </c>
      <c r="JA98">
        <v>0</v>
      </c>
      <c r="JB98">
        <v>0</v>
      </c>
      <c r="JC98" t="s">
        <v>613</v>
      </c>
      <c r="JD98" t="s">
        <v>1908</v>
      </c>
      <c r="JE98" t="s">
        <v>1909</v>
      </c>
      <c r="JF98">
        <v>0</v>
      </c>
      <c r="JG98" t="s">
        <v>1910</v>
      </c>
      <c r="JH98" t="s">
        <v>188</v>
      </c>
      <c r="JI98">
        <v>0</v>
      </c>
      <c r="JJ98" t="s">
        <v>188</v>
      </c>
      <c r="JK98">
        <v>1646.58</v>
      </c>
      <c r="JL98">
        <v>0</v>
      </c>
      <c r="JM98">
        <v>1</v>
      </c>
    </row>
    <row r="99" spans="1:273" x14ac:dyDescent="0.3">
      <c r="A99" t="s">
        <v>1911</v>
      </c>
      <c r="B99" t="s">
        <v>302</v>
      </c>
      <c r="C99" t="s">
        <v>340</v>
      </c>
      <c r="D99" t="s">
        <v>657</v>
      </c>
      <c r="E99" t="s">
        <v>1884</v>
      </c>
      <c r="F99" t="s">
        <v>592</v>
      </c>
      <c r="G99">
        <v>4</v>
      </c>
      <c r="H99" t="s">
        <v>1912</v>
      </c>
      <c r="I99" t="s">
        <v>302</v>
      </c>
      <c r="J99" t="s">
        <v>661</v>
      </c>
      <c r="N99">
        <v>1</v>
      </c>
      <c r="O99">
        <v>1</v>
      </c>
      <c r="P99">
        <v>1</v>
      </c>
      <c r="Q99">
        <v>11</v>
      </c>
      <c r="R99">
        <v>2</v>
      </c>
      <c r="S99">
        <v>0</v>
      </c>
      <c r="T99">
        <v>0</v>
      </c>
      <c r="U99">
        <v>0</v>
      </c>
      <c r="V99" t="s">
        <v>188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 t="s">
        <v>869</v>
      </c>
      <c r="AI99">
        <v>0.2777</v>
      </c>
      <c r="AJ99" t="s">
        <v>199</v>
      </c>
      <c r="AK99">
        <v>1</v>
      </c>
      <c r="AL99">
        <v>3679</v>
      </c>
      <c r="AM99">
        <v>14000</v>
      </c>
      <c r="AN99">
        <v>0</v>
      </c>
      <c r="AO99">
        <v>0</v>
      </c>
      <c r="AP99">
        <v>0</v>
      </c>
      <c r="AQ99">
        <v>2000</v>
      </c>
      <c r="AR99">
        <v>59</v>
      </c>
      <c r="AS99">
        <v>38.299999999999997</v>
      </c>
      <c r="AT99">
        <v>85.77</v>
      </c>
      <c r="AU99">
        <v>0</v>
      </c>
      <c r="AV99">
        <v>0</v>
      </c>
      <c r="AW99">
        <v>10146.07</v>
      </c>
      <c r="AX99">
        <v>46.84</v>
      </c>
      <c r="AY99">
        <v>1508.47</v>
      </c>
      <c r="AZ99">
        <v>6.39</v>
      </c>
      <c r="BA99">
        <v>59</v>
      </c>
      <c r="BB99">
        <v>0</v>
      </c>
      <c r="BC99">
        <v>30</v>
      </c>
      <c r="BD99">
        <v>136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175</v>
      </c>
      <c r="BN99">
        <v>325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325</v>
      </c>
      <c r="BV99">
        <v>1780</v>
      </c>
      <c r="BW99" t="s">
        <v>188</v>
      </c>
      <c r="BX99">
        <v>0</v>
      </c>
      <c r="BY99" t="s">
        <v>1913</v>
      </c>
      <c r="CA99">
        <v>325</v>
      </c>
      <c r="CB99">
        <v>59</v>
      </c>
      <c r="CC99">
        <v>14000</v>
      </c>
      <c r="CD99" t="s">
        <v>188</v>
      </c>
      <c r="CE99" t="s">
        <v>1914</v>
      </c>
      <c r="CF99" t="s">
        <v>1915</v>
      </c>
      <c r="CG99" t="s">
        <v>1916</v>
      </c>
      <c r="CI99" t="s">
        <v>1917</v>
      </c>
      <c r="CK99">
        <v>1000</v>
      </c>
      <c r="CL99" t="s">
        <v>1918</v>
      </c>
      <c r="CM99" t="s">
        <v>1919</v>
      </c>
      <c r="CN99" t="s">
        <v>1920</v>
      </c>
      <c r="CO99">
        <v>0</v>
      </c>
      <c r="CP99" t="s">
        <v>188</v>
      </c>
      <c r="CQ99" t="s">
        <v>188</v>
      </c>
      <c r="CR99">
        <v>229</v>
      </c>
      <c r="CS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J99" t="s">
        <v>1921</v>
      </c>
      <c r="EW99" t="s">
        <v>188</v>
      </c>
      <c r="EX99" t="s">
        <v>188</v>
      </c>
      <c r="EY99" t="s">
        <v>188</v>
      </c>
      <c r="EZ99" t="s">
        <v>188</v>
      </c>
      <c r="FA99">
        <v>4</v>
      </c>
      <c r="FB99" t="s">
        <v>188</v>
      </c>
      <c r="FC99" t="s">
        <v>681</v>
      </c>
      <c r="FD99" t="s">
        <v>682</v>
      </c>
      <c r="FE99">
        <v>1.11111111111111E+27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 t="s">
        <v>188</v>
      </c>
      <c r="GF99" t="s">
        <v>188</v>
      </c>
      <c r="GG99" t="s">
        <v>188</v>
      </c>
      <c r="GH99" s="1">
        <v>45363</v>
      </c>
      <c r="GJ99" t="s">
        <v>812</v>
      </c>
      <c r="GK99" t="s">
        <v>812</v>
      </c>
      <c r="GL99">
        <v>0</v>
      </c>
      <c r="GM99">
        <v>0</v>
      </c>
      <c r="GN99">
        <v>762</v>
      </c>
      <c r="GO99">
        <v>660.4</v>
      </c>
      <c r="GP99">
        <v>0</v>
      </c>
      <c r="GR99" s="1">
        <v>45364</v>
      </c>
      <c r="GV99" t="s">
        <v>188</v>
      </c>
      <c r="GW99" t="s">
        <v>188</v>
      </c>
      <c r="GX99" t="s">
        <v>188</v>
      </c>
      <c r="GY99" t="s">
        <v>188</v>
      </c>
      <c r="GZ99" t="s">
        <v>188</v>
      </c>
      <c r="HA99" t="s">
        <v>188</v>
      </c>
      <c r="HB99" t="s">
        <v>188</v>
      </c>
      <c r="HC99" t="s">
        <v>188</v>
      </c>
      <c r="HD99" t="s">
        <v>188</v>
      </c>
      <c r="HE99" t="s">
        <v>188</v>
      </c>
      <c r="HH99">
        <v>0</v>
      </c>
      <c r="HI99">
        <v>0</v>
      </c>
      <c r="HJ99">
        <v>57.66</v>
      </c>
      <c r="HK99">
        <v>42.41</v>
      </c>
      <c r="HL99">
        <v>1663.71</v>
      </c>
      <c r="HN99" t="s">
        <v>188</v>
      </c>
      <c r="IS99">
        <v>0</v>
      </c>
      <c r="IT99">
        <v>0</v>
      </c>
      <c r="IU99">
        <v>0</v>
      </c>
      <c r="IV99">
        <v>0</v>
      </c>
      <c r="IW99">
        <v>0</v>
      </c>
      <c r="IX99" t="s">
        <v>1907</v>
      </c>
      <c r="IY99">
        <v>0</v>
      </c>
      <c r="IZ99">
        <v>0</v>
      </c>
      <c r="JA99">
        <v>0</v>
      </c>
      <c r="JB99">
        <v>0</v>
      </c>
      <c r="JC99" t="s">
        <v>613</v>
      </c>
      <c r="JD99" t="s">
        <v>1922</v>
      </c>
      <c r="JE99" t="s">
        <v>1923</v>
      </c>
      <c r="JF99">
        <v>0</v>
      </c>
      <c r="JG99" t="s">
        <v>1924</v>
      </c>
      <c r="JH99" t="s">
        <v>188</v>
      </c>
      <c r="JI99">
        <v>0</v>
      </c>
      <c r="JJ99" t="s">
        <v>188</v>
      </c>
      <c r="JK99">
        <v>1802.26</v>
      </c>
      <c r="JL99">
        <v>0</v>
      </c>
      <c r="JM99">
        <v>1</v>
      </c>
    </row>
    <row r="100" spans="1:273" x14ac:dyDescent="0.3">
      <c r="A100" t="s">
        <v>1925</v>
      </c>
      <c r="B100" t="s">
        <v>302</v>
      </c>
      <c r="C100" t="s">
        <v>340</v>
      </c>
      <c r="D100" t="s">
        <v>590</v>
      </c>
      <c r="E100" t="s">
        <v>1884</v>
      </c>
      <c r="F100" t="s">
        <v>659</v>
      </c>
      <c r="G100">
        <v>4</v>
      </c>
      <c r="H100" t="s">
        <v>1926</v>
      </c>
      <c r="I100" t="s">
        <v>302</v>
      </c>
      <c r="J100" t="s">
        <v>993</v>
      </c>
      <c r="N100">
        <v>1</v>
      </c>
      <c r="O100">
        <v>1</v>
      </c>
      <c r="P100">
        <v>1</v>
      </c>
      <c r="Q100">
        <v>12</v>
      </c>
      <c r="R100">
        <v>2</v>
      </c>
      <c r="S100">
        <v>0</v>
      </c>
      <c r="T100">
        <v>0</v>
      </c>
      <c r="U100">
        <v>0</v>
      </c>
      <c r="V100" t="s">
        <v>188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0</v>
      </c>
      <c r="AH100" t="s">
        <v>869</v>
      </c>
      <c r="AI100">
        <v>0.2777</v>
      </c>
      <c r="AJ100" t="s">
        <v>199</v>
      </c>
      <c r="AK100">
        <v>1</v>
      </c>
      <c r="AL100">
        <v>6061</v>
      </c>
      <c r="AM100">
        <v>22922</v>
      </c>
      <c r="AN100">
        <v>0</v>
      </c>
      <c r="AO100">
        <v>0</v>
      </c>
      <c r="AP100">
        <v>0</v>
      </c>
      <c r="AQ100">
        <v>0</v>
      </c>
      <c r="AR100">
        <v>62.6</v>
      </c>
      <c r="AS100">
        <v>39.1</v>
      </c>
      <c r="AT100">
        <v>88.22</v>
      </c>
      <c r="AU100">
        <v>0</v>
      </c>
      <c r="AV100">
        <v>0</v>
      </c>
      <c r="AW100">
        <v>17136.04</v>
      </c>
      <c r="AX100">
        <v>48.41</v>
      </c>
      <c r="AY100">
        <v>2560.35</v>
      </c>
      <c r="AZ100">
        <v>6.73</v>
      </c>
      <c r="BA100">
        <v>62.6</v>
      </c>
      <c r="BB100">
        <v>0</v>
      </c>
      <c r="BC100">
        <v>36</v>
      </c>
      <c r="BD100">
        <v>157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140</v>
      </c>
      <c r="BN100">
        <v>300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300</v>
      </c>
      <c r="BV100">
        <v>2000</v>
      </c>
      <c r="BW100" t="s">
        <v>188</v>
      </c>
      <c r="BX100">
        <v>0</v>
      </c>
      <c r="BY100" t="s">
        <v>1925</v>
      </c>
      <c r="CA100">
        <v>300</v>
      </c>
      <c r="CB100">
        <v>62.6</v>
      </c>
      <c r="CC100">
        <v>22922</v>
      </c>
      <c r="CD100" t="s">
        <v>188</v>
      </c>
      <c r="CE100" t="s">
        <v>1927</v>
      </c>
      <c r="CF100" t="s">
        <v>1928</v>
      </c>
      <c r="CG100" t="s">
        <v>1929</v>
      </c>
      <c r="CI100" t="s">
        <v>1930</v>
      </c>
      <c r="CK100">
        <v>1000</v>
      </c>
      <c r="CL100" t="s">
        <v>1931</v>
      </c>
      <c r="CM100" t="s">
        <v>1932</v>
      </c>
      <c r="CN100" t="s">
        <v>1933</v>
      </c>
      <c r="CO100">
        <v>0</v>
      </c>
      <c r="CP100" t="s">
        <v>188</v>
      </c>
      <c r="CQ100" t="s">
        <v>188</v>
      </c>
      <c r="CR100">
        <v>254</v>
      </c>
      <c r="CS100">
        <v>0</v>
      </c>
      <c r="CX100">
        <v>0</v>
      </c>
      <c r="CY100">
        <v>0</v>
      </c>
      <c r="CZ100">
        <v>0</v>
      </c>
      <c r="DA100">
        <v>0</v>
      </c>
      <c r="DC100">
        <v>0</v>
      </c>
      <c r="DD100">
        <v>0</v>
      </c>
      <c r="DQ100" t="s">
        <v>837</v>
      </c>
      <c r="DR100">
        <v>425</v>
      </c>
      <c r="EW100" t="s">
        <v>188</v>
      </c>
      <c r="EX100" t="s">
        <v>188</v>
      </c>
      <c r="EY100" t="s">
        <v>188</v>
      </c>
      <c r="EZ100" t="s">
        <v>188</v>
      </c>
      <c r="FA100">
        <v>4</v>
      </c>
      <c r="FB100" t="s">
        <v>188</v>
      </c>
      <c r="FC100" t="s">
        <v>681</v>
      </c>
      <c r="FD100" t="s">
        <v>682</v>
      </c>
      <c r="FE100">
        <v>1.1111111111111101E+31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 t="s">
        <v>188</v>
      </c>
      <c r="GF100" t="s">
        <v>188</v>
      </c>
      <c r="GG100" t="s">
        <v>188</v>
      </c>
      <c r="GH100" s="1">
        <v>46218</v>
      </c>
      <c r="GJ100" t="s">
        <v>812</v>
      </c>
      <c r="GK100" t="s">
        <v>812</v>
      </c>
      <c r="GL100">
        <v>0</v>
      </c>
      <c r="GM100">
        <v>0</v>
      </c>
      <c r="GN100">
        <v>0</v>
      </c>
      <c r="GO100">
        <v>0</v>
      </c>
      <c r="GP100">
        <v>0</v>
      </c>
      <c r="GR100" s="1">
        <v>46218</v>
      </c>
      <c r="GV100" t="s">
        <v>188</v>
      </c>
      <c r="GW100" t="s">
        <v>188</v>
      </c>
      <c r="GX100" t="s">
        <v>188</v>
      </c>
      <c r="GY100" t="s">
        <v>188</v>
      </c>
      <c r="GZ100" t="s">
        <v>188</v>
      </c>
      <c r="HA100" t="s">
        <v>188</v>
      </c>
      <c r="HB100" t="s">
        <v>188</v>
      </c>
      <c r="HC100" t="s">
        <v>188</v>
      </c>
      <c r="HD100" t="s">
        <v>188</v>
      </c>
      <c r="HE100" t="s">
        <v>188</v>
      </c>
      <c r="HH100">
        <v>0</v>
      </c>
      <c r="HI100">
        <v>0</v>
      </c>
      <c r="HJ100">
        <v>60.88</v>
      </c>
      <c r="HK100">
        <v>42.89</v>
      </c>
      <c r="HL100">
        <v>2777.27</v>
      </c>
      <c r="HN100" t="s">
        <v>188</v>
      </c>
      <c r="IS100">
        <v>0</v>
      </c>
      <c r="IT100">
        <v>0</v>
      </c>
      <c r="IU100">
        <v>0</v>
      </c>
      <c r="IV100">
        <v>0</v>
      </c>
      <c r="IW100">
        <v>0</v>
      </c>
      <c r="IX100" t="s">
        <v>1934</v>
      </c>
      <c r="IY100">
        <v>0</v>
      </c>
      <c r="IZ100">
        <v>0</v>
      </c>
      <c r="JA100">
        <v>0</v>
      </c>
      <c r="JB100">
        <v>0</v>
      </c>
      <c r="JC100" t="s">
        <v>613</v>
      </c>
      <c r="JD100" t="s">
        <v>1935</v>
      </c>
      <c r="JE100" t="s">
        <v>1936</v>
      </c>
      <c r="JF100">
        <v>0</v>
      </c>
      <c r="JG100" t="s">
        <v>1937</v>
      </c>
      <c r="JH100" t="s">
        <v>188</v>
      </c>
      <c r="JI100">
        <v>0</v>
      </c>
      <c r="JJ100">
        <v>0</v>
      </c>
      <c r="JK100">
        <v>2939.86</v>
      </c>
      <c r="JL100">
        <v>0</v>
      </c>
      <c r="JM100">
        <v>1</v>
      </c>
    </row>
    <row r="101" spans="1:273" x14ac:dyDescent="0.3">
      <c r="A101" t="s">
        <v>1938</v>
      </c>
      <c r="B101" t="s">
        <v>302</v>
      </c>
      <c r="C101" t="s">
        <v>340</v>
      </c>
      <c r="D101" t="s">
        <v>657</v>
      </c>
      <c r="E101" t="s">
        <v>1939</v>
      </c>
      <c r="F101" t="s">
        <v>592</v>
      </c>
      <c r="G101">
        <v>5</v>
      </c>
      <c r="H101" t="s">
        <v>1940</v>
      </c>
      <c r="I101" t="s">
        <v>594</v>
      </c>
      <c r="J101" t="s">
        <v>993</v>
      </c>
      <c r="L101" t="s">
        <v>1941</v>
      </c>
      <c r="M101" t="s">
        <v>1942</v>
      </c>
      <c r="N101">
        <v>1</v>
      </c>
      <c r="O101">
        <v>1</v>
      </c>
      <c r="P101">
        <v>1</v>
      </c>
      <c r="Q101">
        <v>9</v>
      </c>
      <c r="R101">
        <v>2</v>
      </c>
      <c r="S101">
        <v>0</v>
      </c>
      <c r="T101">
        <v>0</v>
      </c>
      <c r="U101">
        <v>0</v>
      </c>
      <c r="V101" t="s">
        <v>188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 t="s">
        <v>596</v>
      </c>
      <c r="AI101">
        <v>1</v>
      </c>
      <c r="AJ101" t="s">
        <v>199</v>
      </c>
      <c r="AK101">
        <v>1</v>
      </c>
      <c r="AL101">
        <v>84</v>
      </c>
      <c r="AM101">
        <v>481</v>
      </c>
      <c r="AN101">
        <v>0</v>
      </c>
      <c r="AO101">
        <v>0</v>
      </c>
      <c r="AP101">
        <v>0</v>
      </c>
      <c r="AQ101">
        <v>425</v>
      </c>
      <c r="AR101">
        <v>66.3</v>
      </c>
      <c r="AS101">
        <v>38.4</v>
      </c>
      <c r="AT101">
        <v>72.92</v>
      </c>
      <c r="AU101">
        <v>0</v>
      </c>
      <c r="AV101">
        <v>0</v>
      </c>
      <c r="AW101">
        <v>377.93</v>
      </c>
      <c r="AX101">
        <v>48.56</v>
      </c>
      <c r="AY101">
        <v>246.76</v>
      </c>
      <c r="AZ101">
        <v>6.26</v>
      </c>
      <c r="BA101">
        <v>66.3</v>
      </c>
      <c r="BB101">
        <v>0</v>
      </c>
      <c r="BC101">
        <v>37</v>
      </c>
      <c r="BD101">
        <v>171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600</v>
      </c>
      <c r="BN101">
        <v>1100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1100</v>
      </c>
      <c r="BV101">
        <v>549</v>
      </c>
      <c r="BW101" t="s">
        <v>188</v>
      </c>
      <c r="BX101">
        <v>0</v>
      </c>
      <c r="BY101" t="s">
        <v>1942</v>
      </c>
      <c r="CA101">
        <v>1100</v>
      </c>
      <c r="CB101">
        <v>66.3</v>
      </c>
      <c r="CC101">
        <v>481</v>
      </c>
      <c r="CD101" t="s">
        <v>188</v>
      </c>
      <c r="CE101" t="s">
        <v>1943</v>
      </c>
      <c r="CF101" t="s">
        <v>1944</v>
      </c>
      <c r="CG101" t="s">
        <v>1945</v>
      </c>
      <c r="CI101" t="s">
        <v>1946</v>
      </c>
      <c r="CK101">
        <v>25</v>
      </c>
      <c r="CL101" t="s">
        <v>1947</v>
      </c>
      <c r="CM101" t="s">
        <v>1948</v>
      </c>
      <c r="CN101" t="s">
        <v>1949</v>
      </c>
      <c r="CO101">
        <v>0</v>
      </c>
      <c r="CP101" t="s">
        <v>188</v>
      </c>
      <c r="CQ101" t="s">
        <v>188</v>
      </c>
      <c r="CR101">
        <v>65</v>
      </c>
      <c r="CS101">
        <v>0</v>
      </c>
      <c r="CT101" t="s">
        <v>1950</v>
      </c>
      <c r="CX101">
        <v>0</v>
      </c>
      <c r="CY101">
        <v>1030</v>
      </c>
      <c r="CZ101">
        <v>0</v>
      </c>
      <c r="DA101">
        <v>0</v>
      </c>
      <c r="DB101" t="s">
        <v>1951</v>
      </c>
      <c r="DC101">
        <v>0</v>
      </c>
      <c r="DD101">
        <v>0</v>
      </c>
      <c r="DI101" t="s">
        <v>1952</v>
      </c>
      <c r="DJ101" t="s">
        <v>1953</v>
      </c>
      <c r="DK101">
        <v>200</v>
      </c>
      <c r="DQ101" t="s">
        <v>773</v>
      </c>
      <c r="DR101">
        <v>260</v>
      </c>
      <c r="DS101" t="s">
        <v>1046</v>
      </c>
      <c r="DT101">
        <v>425</v>
      </c>
      <c r="EW101" t="s">
        <v>188</v>
      </c>
      <c r="EX101" t="s">
        <v>188</v>
      </c>
      <c r="EY101" t="s">
        <v>188</v>
      </c>
      <c r="EZ101" t="s">
        <v>188</v>
      </c>
      <c r="FA101">
        <v>4</v>
      </c>
      <c r="FB101" t="s">
        <v>188</v>
      </c>
      <c r="FE101">
        <v>1.1111111111111099E+23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 t="s">
        <v>188</v>
      </c>
      <c r="GF101" t="s">
        <v>188</v>
      </c>
      <c r="GG101" t="s">
        <v>188</v>
      </c>
      <c r="GH101" s="1">
        <v>44648</v>
      </c>
      <c r="GI101" t="s">
        <v>608</v>
      </c>
      <c r="GJ101" t="s">
        <v>609</v>
      </c>
      <c r="GK101" t="s">
        <v>610</v>
      </c>
      <c r="GL101">
        <v>0</v>
      </c>
      <c r="GM101">
        <v>0</v>
      </c>
      <c r="GN101">
        <v>254</v>
      </c>
      <c r="GO101">
        <v>203.2</v>
      </c>
      <c r="GP101">
        <v>0</v>
      </c>
      <c r="GQ101" t="s">
        <v>611</v>
      </c>
      <c r="GR101" s="1">
        <v>44872</v>
      </c>
      <c r="GV101" t="s">
        <v>188</v>
      </c>
      <c r="GW101" t="s">
        <v>188</v>
      </c>
      <c r="GX101" t="s">
        <v>188</v>
      </c>
      <c r="GY101" t="s">
        <v>188</v>
      </c>
      <c r="GZ101" t="s">
        <v>188</v>
      </c>
      <c r="HA101" t="s">
        <v>188</v>
      </c>
      <c r="HB101" t="s">
        <v>188</v>
      </c>
      <c r="HC101" t="s">
        <v>188</v>
      </c>
      <c r="HD101" t="s">
        <v>188</v>
      </c>
      <c r="HE101" t="s">
        <v>188</v>
      </c>
      <c r="HH101">
        <v>0</v>
      </c>
      <c r="HI101">
        <v>0</v>
      </c>
      <c r="HJ101">
        <v>65.09</v>
      </c>
      <c r="HK101">
        <v>41.46</v>
      </c>
      <c r="HL101">
        <v>267.14999999999998</v>
      </c>
      <c r="HN101" t="s">
        <v>188</v>
      </c>
      <c r="IS101">
        <v>0</v>
      </c>
      <c r="IT101">
        <v>0</v>
      </c>
      <c r="IU101">
        <v>0</v>
      </c>
      <c r="IV101">
        <v>0</v>
      </c>
      <c r="IW101">
        <v>0</v>
      </c>
      <c r="IX101" t="s">
        <v>1954</v>
      </c>
      <c r="IY101">
        <v>0</v>
      </c>
      <c r="IZ101">
        <v>0</v>
      </c>
      <c r="JA101">
        <v>0</v>
      </c>
      <c r="JB101">
        <v>0</v>
      </c>
      <c r="JC101" t="s">
        <v>613</v>
      </c>
      <c r="JD101" t="s">
        <v>1955</v>
      </c>
      <c r="JE101" t="s">
        <v>791</v>
      </c>
      <c r="JF101">
        <v>0</v>
      </c>
      <c r="JH101" t="s">
        <v>188</v>
      </c>
      <c r="JI101">
        <v>0</v>
      </c>
      <c r="JJ101" t="s">
        <v>188</v>
      </c>
      <c r="JK101">
        <v>278.58999999999997</v>
      </c>
      <c r="JL101">
        <v>0</v>
      </c>
      <c r="JM101">
        <v>1</v>
      </c>
    </row>
    <row r="102" spans="1:273" x14ac:dyDescent="0.3">
      <c r="A102" t="s">
        <v>1956</v>
      </c>
      <c r="B102" t="s">
        <v>302</v>
      </c>
      <c r="C102" t="s">
        <v>340</v>
      </c>
      <c r="D102" t="s">
        <v>657</v>
      </c>
      <c r="E102" t="s">
        <v>1939</v>
      </c>
      <c r="F102" t="s">
        <v>659</v>
      </c>
      <c r="G102">
        <v>5</v>
      </c>
      <c r="H102" t="s">
        <v>1957</v>
      </c>
      <c r="I102" t="s">
        <v>594</v>
      </c>
      <c r="J102" t="s">
        <v>993</v>
      </c>
      <c r="L102" t="s">
        <v>1941</v>
      </c>
      <c r="M102" t="s">
        <v>1958</v>
      </c>
      <c r="N102">
        <v>1</v>
      </c>
      <c r="O102">
        <v>1</v>
      </c>
      <c r="P102">
        <v>1</v>
      </c>
      <c r="Q102">
        <v>8</v>
      </c>
      <c r="R102">
        <v>2</v>
      </c>
      <c r="S102">
        <v>0</v>
      </c>
      <c r="T102">
        <v>0</v>
      </c>
      <c r="U102">
        <v>0</v>
      </c>
      <c r="V102" t="s">
        <v>188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1</v>
      </c>
      <c r="AD102">
        <v>0</v>
      </c>
      <c r="AE102">
        <v>0</v>
      </c>
      <c r="AF102">
        <v>0</v>
      </c>
      <c r="AG102">
        <v>0</v>
      </c>
      <c r="AH102" t="s">
        <v>596</v>
      </c>
      <c r="AI102">
        <v>1</v>
      </c>
      <c r="AJ102" t="s">
        <v>199</v>
      </c>
      <c r="AK102">
        <v>1</v>
      </c>
      <c r="AL102">
        <v>50</v>
      </c>
      <c r="AM102">
        <v>375</v>
      </c>
      <c r="AN102">
        <v>0</v>
      </c>
      <c r="AO102">
        <v>0</v>
      </c>
      <c r="AP102">
        <v>0</v>
      </c>
      <c r="AQ102">
        <v>425</v>
      </c>
      <c r="AR102">
        <v>44.3</v>
      </c>
      <c r="AS102">
        <v>30.4</v>
      </c>
      <c r="AT102">
        <v>79.400000000000006</v>
      </c>
      <c r="AU102">
        <v>0</v>
      </c>
      <c r="AV102">
        <v>0</v>
      </c>
      <c r="AW102">
        <v>314.13</v>
      </c>
      <c r="AX102">
        <v>34.79</v>
      </c>
      <c r="AY102">
        <v>134.94999999999999</v>
      </c>
      <c r="AZ102">
        <v>22.18</v>
      </c>
      <c r="BA102">
        <v>44.3</v>
      </c>
      <c r="BB102">
        <v>0</v>
      </c>
      <c r="BC102">
        <v>35</v>
      </c>
      <c r="BD102">
        <v>49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500</v>
      </c>
      <c r="BN102">
        <v>900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900</v>
      </c>
      <c r="BV102">
        <v>549</v>
      </c>
      <c r="BW102" t="s">
        <v>188</v>
      </c>
      <c r="BX102">
        <v>0</v>
      </c>
      <c r="BY102" t="s">
        <v>1958</v>
      </c>
      <c r="CA102">
        <v>900</v>
      </c>
      <c r="CB102">
        <v>44.3</v>
      </c>
      <c r="CC102">
        <v>375</v>
      </c>
      <c r="CD102" t="s">
        <v>188</v>
      </c>
      <c r="CE102" t="s">
        <v>1959</v>
      </c>
      <c r="CF102" t="s">
        <v>1960</v>
      </c>
      <c r="CG102" t="s">
        <v>1961</v>
      </c>
      <c r="CI102" t="s">
        <v>1962</v>
      </c>
      <c r="CK102">
        <v>25</v>
      </c>
      <c r="CL102" t="s">
        <v>1963</v>
      </c>
      <c r="CM102" t="s">
        <v>1964</v>
      </c>
      <c r="CN102" t="s">
        <v>1965</v>
      </c>
      <c r="CO102">
        <v>0</v>
      </c>
      <c r="CP102" t="s">
        <v>188</v>
      </c>
      <c r="CQ102" t="s">
        <v>188</v>
      </c>
      <c r="CR102">
        <v>65</v>
      </c>
      <c r="CS102">
        <v>0</v>
      </c>
      <c r="CT102" t="s">
        <v>1950</v>
      </c>
      <c r="CX102">
        <v>0</v>
      </c>
      <c r="CY102">
        <v>1030</v>
      </c>
      <c r="CZ102">
        <v>0</v>
      </c>
      <c r="DA102">
        <v>0</v>
      </c>
      <c r="DB102" t="s">
        <v>1966</v>
      </c>
      <c r="DC102">
        <v>0</v>
      </c>
      <c r="DD102">
        <v>0</v>
      </c>
      <c r="DI102" t="s">
        <v>1952</v>
      </c>
      <c r="DJ102" t="s">
        <v>1967</v>
      </c>
      <c r="DK102">
        <v>200</v>
      </c>
      <c r="DQ102" t="s">
        <v>773</v>
      </c>
      <c r="DR102">
        <v>260</v>
      </c>
      <c r="DS102" t="s">
        <v>1046</v>
      </c>
      <c r="DT102">
        <v>425</v>
      </c>
      <c r="EW102" t="s">
        <v>188</v>
      </c>
      <c r="EX102" t="s">
        <v>188</v>
      </c>
      <c r="EY102" t="s">
        <v>188</v>
      </c>
      <c r="EZ102" t="s">
        <v>188</v>
      </c>
      <c r="FA102">
        <v>4</v>
      </c>
      <c r="FB102" t="s">
        <v>188</v>
      </c>
      <c r="FE102">
        <v>1.11111111111111E+35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 t="s">
        <v>188</v>
      </c>
      <c r="GF102" t="s">
        <v>188</v>
      </c>
      <c r="GG102" t="s">
        <v>188</v>
      </c>
      <c r="GH102" s="1">
        <v>44648</v>
      </c>
      <c r="GI102" t="s">
        <v>608</v>
      </c>
      <c r="GJ102" t="s">
        <v>609</v>
      </c>
      <c r="GK102" t="s">
        <v>812</v>
      </c>
      <c r="GL102">
        <v>0</v>
      </c>
      <c r="GM102">
        <v>0</v>
      </c>
      <c r="GN102">
        <v>254</v>
      </c>
      <c r="GO102">
        <v>203.2</v>
      </c>
      <c r="GP102">
        <v>0</v>
      </c>
      <c r="GQ102" t="s">
        <v>611</v>
      </c>
      <c r="GR102" s="1">
        <v>45440</v>
      </c>
      <c r="GV102" t="s">
        <v>188</v>
      </c>
      <c r="GW102" t="s">
        <v>188</v>
      </c>
      <c r="GX102" t="s">
        <v>188</v>
      </c>
      <c r="GY102" t="s">
        <v>188</v>
      </c>
      <c r="GZ102" t="s">
        <v>188</v>
      </c>
      <c r="HA102" t="s">
        <v>188</v>
      </c>
      <c r="HB102" t="s">
        <v>188</v>
      </c>
      <c r="HC102" t="s">
        <v>188</v>
      </c>
      <c r="HD102" t="s">
        <v>188</v>
      </c>
      <c r="HE102" t="s">
        <v>188</v>
      </c>
      <c r="HH102">
        <v>0</v>
      </c>
      <c r="HI102">
        <v>0</v>
      </c>
      <c r="HJ102">
        <v>43.92</v>
      </c>
      <c r="HK102">
        <v>30.23</v>
      </c>
      <c r="HL102">
        <v>149.9</v>
      </c>
      <c r="HN102" t="s">
        <v>188</v>
      </c>
      <c r="IS102">
        <v>0</v>
      </c>
      <c r="IT102">
        <v>0</v>
      </c>
      <c r="IU102">
        <v>0</v>
      </c>
      <c r="IV102">
        <v>0</v>
      </c>
      <c r="IW102">
        <v>0</v>
      </c>
      <c r="IX102" t="s">
        <v>1968</v>
      </c>
      <c r="IY102">
        <v>0</v>
      </c>
      <c r="IZ102">
        <v>0</v>
      </c>
      <c r="JA102">
        <v>0</v>
      </c>
      <c r="JB102">
        <v>0</v>
      </c>
      <c r="JC102" t="s">
        <v>613</v>
      </c>
      <c r="JD102" t="s">
        <v>1969</v>
      </c>
      <c r="JE102" t="s">
        <v>791</v>
      </c>
      <c r="JF102">
        <v>0</v>
      </c>
      <c r="JH102" t="s">
        <v>188</v>
      </c>
      <c r="JI102">
        <v>0</v>
      </c>
      <c r="JJ102" t="s">
        <v>188</v>
      </c>
      <c r="JK102">
        <v>149.02000000000001</v>
      </c>
      <c r="JL102">
        <v>0</v>
      </c>
      <c r="JM102">
        <v>1</v>
      </c>
    </row>
    <row r="103" spans="1:273" x14ac:dyDescent="0.3">
      <c r="A103" t="s">
        <v>1970</v>
      </c>
      <c r="B103" t="s">
        <v>302</v>
      </c>
      <c r="C103" t="s">
        <v>340</v>
      </c>
      <c r="D103" t="s">
        <v>657</v>
      </c>
      <c r="E103" t="s">
        <v>1939</v>
      </c>
      <c r="F103" t="s">
        <v>592</v>
      </c>
      <c r="G103">
        <v>5</v>
      </c>
      <c r="H103" t="s">
        <v>1971</v>
      </c>
      <c r="I103" t="s">
        <v>594</v>
      </c>
      <c r="J103" t="s">
        <v>993</v>
      </c>
      <c r="L103" t="s">
        <v>1824</v>
      </c>
      <c r="M103" t="s">
        <v>1972</v>
      </c>
      <c r="N103">
        <v>1</v>
      </c>
      <c r="O103">
        <v>1</v>
      </c>
      <c r="P103">
        <v>1</v>
      </c>
      <c r="Q103">
        <v>9</v>
      </c>
      <c r="R103">
        <v>2</v>
      </c>
      <c r="S103">
        <v>0</v>
      </c>
      <c r="T103">
        <v>0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 t="s">
        <v>596</v>
      </c>
      <c r="AI103">
        <v>1</v>
      </c>
      <c r="AJ103" t="s">
        <v>199</v>
      </c>
      <c r="AK103">
        <v>1</v>
      </c>
      <c r="AL103">
        <v>86</v>
      </c>
      <c r="AM103">
        <v>499</v>
      </c>
      <c r="AN103">
        <v>0</v>
      </c>
      <c r="AO103">
        <v>0</v>
      </c>
      <c r="AP103">
        <v>0</v>
      </c>
      <c r="AQ103">
        <v>425</v>
      </c>
      <c r="AR103">
        <v>49.7</v>
      </c>
      <c r="AS103">
        <v>25</v>
      </c>
      <c r="AT103">
        <v>72.040000000000006</v>
      </c>
      <c r="AU103">
        <v>0</v>
      </c>
      <c r="AV103">
        <v>0</v>
      </c>
      <c r="AW103">
        <v>395.22</v>
      </c>
      <c r="AX103">
        <v>32.93</v>
      </c>
      <c r="AY103">
        <v>177.09</v>
      </c>
      <c r="AZ103">
        <v>11.74</v>
      </c>
      <c r="BA103">
        <v>49.7</v>
      </c>
      <c r="BB103">
        <v>0</v>
      </c>
      <c r="BC103">
        <v>46</v>
      </c>
      <c r="BD103">
        <v>99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500</v>
      </c>
      <c r="BN103">
        <v>1000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1000</v>
      </c>
      <c r="BV103">
        <v>550</v>
      </c>
      <c r="BW103" t="s">
        <v>188</v>
      </c>
      <c r="BX103">
        <v>0</v>
      </c>
      <c r="BY103" t="s">
        <v>1972</v>
      </c>
      <c r="CA103">
        <v>1000</v>
      </c>
      <c r="CB103">
        <v>49.7</v>
      </c>
      <c r="CC103">
        <v>499</v>
      </c>
      <c r="CD103" t="s">
        <v>188</v>
      </c>
      <c r="CE103" t="s">
        <v>1973</v>
      </c>
      <c r="CF103" t="s">
        <v>1974</v>
      </c>
      <c r="CG103" t="s">
        <v>1975</v>
      </c>
      <c r="CI103" t="s">
        <v>1976</v>
      </c>
      <c r="CK103">
        <v>25</v>
      </c>
      <c r="CL103" t="s">
        <v>1977</v>
      </c>
      <c r="CM103" t="s">
        <v>1978</v>
      </c>
      <c r="CN103" t="s">
        <v>1979</v>
      </c>
      <c r="CO103">
        <v>0</v>
      </c>
      <c r="CP103" t="s">
        <v>188</v>
      </c>
      <c r="CQ103" t="s">
        <v>188</v>
      </c>
      <c r="CR103">
        <v>65</v>
      </c>
      <c r="CS103">
        <v>0</v>
      </c>
      <c r="CT103" t="s">
        <v>1980</v>
      </c>
      <c r="CX103">
        <v>0</v>
      </c>
      <c r="CY103">
        <v>1030</v>
      </c>
      <c r="CZ103">
        <v>0</v>
      </c>
      <c r="DA103">
        <v>0</v>
      </c>
      <c r="DB103" t="s">
        <v>1981</v>
      </c>
      <c r="DC103">
        <v>0</v>
      </c>
      <c r="DD103">
        <v>0</v>
      </c>
      <c r="DI103" t="s">
        <v>1841</v>
      </c>
      <c r="DJ103" t="s">
        <v>1982</v>
      </c>
      <c r="DK103">
        <v>250</v>
      </c>
      <c r="DQ103" t="s">
        <v>773</v>
      </c>
      <c r="DR103">
        <v>260</v>
      </c>
      <c r="DS103" t="s">
        <v>1046</v>
      </c>
      <c r="DT103">
        <v>425</v>
      </c>
      <c r="DU103">
        <v>0</v>
      </c>
      <c r="DV103">
        <v>0</v>
      </c>
      <c r="EW103" t="s">
        <v>188</v>
      </c>
      <c r="EX103" t="s">
        <v>188</v>
      </c>
      <c r="EY103" t="s">
        <v>188</v>
      </c>
      <c r="EZ103" t="s">
        <v>188</v>
      </c>
      <c r="FA103">
        <v>4</v>
      </c>
      <c r="FB103" t="s">
        <v>188</v>
      </c>
      <c r="FE103">
        <v>1111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 t="s">
        <v>188</v>
      </c>
      <c r="GF103" t="s">
        <v>188</v>
      </c>
      <c r="GG103" t="s">
        <v>188</v>
      </c>
      <c r="GH103" s="1">
        <v>44648</v>
      </c>
      <c r="GI103" t="s">
        <v>608</v>
      </c>
      <c r="GJ103" t="s">
        <v>609</v>
      </c>
      <c r="GK103" t="s">
        <v>610</v>
      </c>
      <c r="GL103">
        <v>0</v>
      </c>
      <c r="GM103">
        <v>0</v>
      </c>
      <c r="GN103">
        <v>305</v>
      </c>
      <c r="GO103">
        <v>254</v>
      </c>
      <c r="GP103">
        <v>0</v>
      </c>
      <c r="GQ103" t="s">
        <v>611</v>
      </c>
      <c r="GR103" s="1">
        <v>44879</v>
      </c>
      <c r="GV103" t="s">
        <v>188</v>
      </c>
      <c r="GW103" t="s">
        <v>188</v>
      </c>
      <c r="GX103" t="s">
        <v>188</v>
      </c>
      <c r="GY103" t="s">
        <v>188</v>
      </c>
      <c r="GZ103" t="s">
        <v>188</v>
      </c>
      <c r="HA103" t="s">
        <v>188</v>
      </c>
      <c r="HB103" t="s">
        <v>188</v>
      </c>
      <c r="HC103" t="s">
        <v>188</v>
      </c>
      <c r="HD103" t="s">
        <v>188</v>
      </c>
      <c r="HE103" t="s">
        <v>188</v>
      </c>
      <c r="HH103">
        <v>0</v>
      </c>
      <c r="HI103">
        <v>0</v>
      </c>
      <c r="HJ103">
        <v>48.36</v>
      </c>
      <c r="HK103">
        <v>26.96</v>
      </c>
      <c r="HL103">
        <v>183.77</v>
      </c>
      <c r="HN103" t="s">
        <v>188</v>
      </c>
      <c r="IS103">
        <v>0</v>
      </c>
      <c r="IT103">
        <v>0</v>
      </c>
      <c r="IU103">
        <v>0</v>
      </c>
      <c r="IV103">
        <v>0</v>
      </c>
      <c r="IW103">
        <v>0</v>
      </c>
      <c r="IX103" t="s">
        <v>1954</v>
      </c>
      <c r="IY103">
        <v>0</v>
      </c>
      <c r="IZ103">
        <v>0</v>
      </c>
      <c r="JA103">
        <v>0</v>
      </c>
      <c r="JB103">
        <v>0</v>
      </c>
      <c r="JC103" t="s">
        <v>613</v>
      </c>
      <c r="JD103" t="s">
        <v>1983</v>
      </c>
      <c r="JE103" t="s">
        <v>791</v>
      </c>
      <c r="JF103">
        <v>0</v>
      </c>
      <c r="JH103" t="s">
        <v>188</v>
      </c>
      <c r="JI103">
        <v>0</v>
      </c>
      <c r="JJ103" t="s">
        <v>188</v>
      </c>
      <c r="JK103">
        <v>188.74</v>
      </c>
      <c r="JL103">
        <v>0</v>
      </c>
      <c r="JM103">
        <v>1</v>
      </c>
    </row>
    <row r="104" spans="1:273" x14ac:dyDescent="0.3">
      <c r="A104" t="s">
        <v>1984</v>
      </c>
      <c r="B104" t="s">
        <v>302</v>
      </c>
      <c r="C104" t="s">
        <v>340</v>
      </c>
      <c r="D104" t="s">
        <v>657</v>
      </c>
      <c r="E104" t="s">
        <v>1939</v>
      </c>
      <c r="F104" t="s">
        <v>659</v>
      </c>
      <c r="G104">
        <v>5</v>
      </c>
      <c r="H104" t="s">
        <v>1985</v>
      </c>
      <c r="I104" t="s">
        <v>594</v>
      </c>
      <c r="J104" t="s">
        <v>993</v>
      </c>
      <c r="L104" t="s">
        <v>1824</v>
      </c>
      <c r="M104" t="s">
        <v>1986</v>
      </c>
      <c r="N104">
        <v>1</v>
      </c>
      <c r="O104">
        <v>1</v>
      </c>
      <c r="P104">
        <v>1</v>
      </c>
      <c r="Q104">
        <v>7</v>
      </c>
      <c r="R104">
        <v>2</v>
      </c>
      <c r="S104">
        <v>0</v>
      </c>
      <c r="T104">
        <v>0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 t="s">
        <v>596</v>
      </c>
      <c r="AI104">
        <v>1</v>
      </c>
      <c r="AJ104" t="s">
        <v>199</v>
      </c>
      <c r="AK104">
        <v>1</v>
      </c>
      <c r="AL104">
        <v>80</v>
      </c>
      <c r="AM104">
        <v>662</v>
      </c>
      <c r="AN104">
        <v>0</v>
      </c>
      <c r="AO104">
        <v>0</v>
      </c>
      <c r="AP104">
        <v>0</v>
      </c>
      <c r="AQ104">
        <v>425</v>
      </c>
      <c r="AR104">
        <v>43.4</v>
      </c>
      <c r="AS104">
        <v>25</v>
      </c>
      <c r="AT104">
        <v>80.930000000000007</v>
      </c>
      <c r="AU104">
        <v>0</v>
      </c>
      <c r="AV104">
        <v>0</v>
      </c>
      <c r="AW104">
        <v>501.64</v>
      </c>
      <c r="AX104">
        <v>32.32</v>
      </c>
      <c r="AY104">
        <v>196.44</v>
      </c>
      <c r="AZ104">
        <v>6.09</v>
      </c>
      <c r="BA104">
        <v>43.4</v>
      </c>
      <c r="BB104">
        <v>0</v>
      </c>
      <c r="BC104">
        <v>42</v>
      </c>
      <c r="BD104">
        <v>146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400</v>
      </c>
      <c r="BN104">
        <v>800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800</v>
      </c>
      <c r="BV104">
        <v>653</v>
      </c>
      <c r="BW104" t="s">
        <v>188</v>
      </c>
      <c r="BX104">
        <v>0</v>
      </c>
      <c r="BY104" t="s">
        <v>1986</v>
      </c>
      <c r="CA104">
        <v>800</v>
      </c>
      <c r="CB104">
        <v>43.4</v>
      </c>
      <c r="CC104">
        <v>662</v>
      </c>
      <c r="CD104" t="s">
        <v>188</v>
      </c>
      <c r="CE104" t="s">
        <v>1987</v>
      </c>
      <c r="CF104" t="s">
        <v>1988</v>
      </c>
      <c r="CG104" t="s">
        <v>1989</v>
      </c>
      <c r="CI104" t="s">
        <v>1990</v>
      </c>
      <c r="CK104">
        <v>25</v>
      </c>
      <c r="CL104" t="s">
        <v>1991</v>
      </c>
      <c r="CM104" t="s">
        <v>1992</v>
      </c>
      <c r="CN104" t="s">
        <v>1993</v>
      </c>
      <c r="CO104">
        <v>0</v>
      </c>
      <c r="CP104" t="s">
        <v>188</v>
      </c>
      <c r="CQ104" t="s">
        <v>188</v>
      </c>
      <c r="CR104">
        <v>65</v>
      </c>
      <c r="CS104">
        <v>0</v>
      </c>
      <c r="CT104" t="s">
        <v>1994</v>
      </c>
      <c r="CX104">
        <v>0</v>
      </c>
      <c r="CY104">
        <v>1030</v>
      </c>
      <c r="CZ104">
        <v>0</v>
      </c>
      <c r="DA104">
        <v>0</v>
      </c>
      <c r="DB104" t="s">
        <v>1995</v>
      </c>
      <c r="DC104">
        <v>0</v>
      </c>
      <c r="DD104">
        <v>0</v>
      </c>
      <c r="DI104" t="s">
        <v>1996</v>
      </c>
      <c r="DJ104" t="s">
        <v>1997</v>
      </c>
      <c r="DK104">
        <v>300</v>
      </c>
      <c r="DQ104" t="s">
        <v>773</v>
      </c>
      <c r="DR104">
        <v>260</v>
      </c>
      <c r="DS104" t="s">
        <v>1046</v>
      </c>
      <c r="DT104">
        <v>425</v>
      </c>
      <c r="DU104">
        <v>0</v>
      </c>
      <c r="DV104">
        <v>0</v>
      </c>
      <c r="EW104" t="s">
        <v>188</v>
      </c>
      <c r="EX104" t="s">
        <v>188</v>
      </c>
      <c r="EY104" t="s">
        <v>188</v>
      </c>
      <c r="EZ104" t="s">
        <v>188</v>
      </c>
      <c r="FA104">
        <v>4</v>
      </c>
      <c r="FB104" t="s">
        <v>188</v>
      </c>
      <c r="FE104">
        <v>1.11111111111111E+35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 t="s">
        <v>188</v>
      </c>
      <c r="GF104" t="s">
        <v>188</v>
      </c>
      <c r="GG104" t="s">
        <v>188</v>
      </c>
      <c r="GH104" s="1">
        <v>44648</v>
      </c>
      <c r="GI104" t="s">
        <v>608</v>
      </c>
      <c r="GJ104" t="s">
        <v>609</v>
      </c>
      <c r="GK104" t="s">
        <v>610</v>
      </c>
      <c r="GL104">
        <v>0</v>
      </c>
      <c r="GM104">
        <v>0</v>
      </c>
      <c r="GN104">
        <v>355.6</v>
      </c>
      <c r="GO104">
        <v>304.8</v>
      </c>
      <c r="GP104">
        <v>0</v>
      </c>
      <c r="GQ104" t="s">
        <v>611</v>
      </c>
      <c r="GR104" s="1">
        <v>44873</v>
      </c>
      <c r="GV104" t="s">
        <v>188</v>
      </c>
      <c r="GW104" t="s">
        <v>188</v>
      </c>
      <c r="GX104" t="s">
        <v>188</v>
      </c>
      <c r="GY104" t="s">
        <v>188</v>
      </c>
      <c r="GZ104" t="s">
        <v>188</v>
      </c>
      <c r="HA104" t="s">
        <v>188</v>
      </c>
      <c r="HB104" t="s">
        <v>188</v>
      </c>
      <c r="HC104" t="s">
        <v>188</v>
      </c>
      <c r="HD104" t="s">
        <v>188</v>
      </c>
      <c r="HE104" t="s">
        <v>188</v>
      </c>
      <c r="HH104">
        <v>0</v>
      </c>
      <c r="HI104">
        <v>0</v>
      </c>
      <c r="HJ104">
        <v>43.24</v>
      </c>
      <c r="HK104">
        <v>27.95</v>
      </c>
      <c r="HL104">
        <v>208.79</v>
      </c>
      <c r="HN104" t="s">
        <v>188</v>
      </c>
      <c r="IS104">
        <v>0</v>
      </c>
      <c r="IT104">
        <v>0</v>
      </c>
      <c r="IU104">
        <v>0</v>
      </c>
      <c r="IV104">
        <v>0</v>
      </c>
      <c r="IW104">
        <v>0</v>
      </c>
      <c r="IX104" t="s">
        <v>1998</v>
      </c>
      <c r="IY104">
        <v>0</v>
      </c>
      <c r="IZ104">
        <v>0</v>
      </c>
      <c r="JA104">
        <v>0</v>
      </c>
      <c r="JB104">
        <v>0</v>
      </c>
      <c r="JC104" t="s">
        <v>613</v>
      </c>
      <c r="JD104" t="s">
        <v>705</v>
      </c>
      <c r="JE104" t="s">
        <v>791</v>
      </c>
      <c r="JF104">
        <v>0</v>
      </c>
      <c r="JH104" t="s">
        <v>188</v>
      </c>
      <c r="JI104">
        <v>0</v>
      </c>
      <c r="JJ104" t="s">
        <v>188</v>
      </c>
      <c r="JK104">
        <v>216.34</v>
      </c>
      <c r="JL104">
        <v>0</v>
      </c>
      <c r="JM104">
        <v>1</v>
      </c>
    </row>
    <row r="105" spans="1:273" x14ac:dyDescent="0.3">
      <c r="A105" t="s">
        <v>1999</v>
      </c>
      <c r="B105" t="s">
        <v>302</v>
      </c>
      <c r="C105" t="s">
        <v>340</v>
      </c>
      <c r="D105" t="s">
        <v>657</v>
      </c>
      <c r="E105" t="s">
        <v>1939</v>
      </c>
      <c r="F105" t="s">
        <v>592</v>
      </c>
      <c r="G105">
        <v>5</v>
      </c>
      <c r="H105" t="s">
        <v>2000</v>
      </c>
      <c r="I105" t="s">
        <v>594</v>
      </c>
      <c r="J105" t="s">
        <v>993</v>
      </c>
      <c r="L105" t="s">
        <v>2001</v>
      </c>
      <c r="M105">
        <v>150</v>
      </c>
      <c r="N105">
        <v>9</v>
      </c>
      <c r="O105">
        <v>9</v>
      </c>
      <c r="P105">
        <v>1</v>
      </c>
      <c r="Q105">
        <v>9</v>
      </c>
      <c r="R105">
        <v>2</v>
      </c>
      <c r="S105">
        <v>0</v>
      </c>
      <c r="T105">
        <v>0</v>
      </c>
      <c r="U105">
        <v>0</v>
      </c>
      <c r="V105" t="s">
        <v>188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 t="s">
        <v>596</v>
      </c>
      <c r="AI105">
        <v>1</v>
      </c>
      <c r="AJ105" t="s">
        <v>199</v>
      </c>
      <c r="AK105">
        <v>1</v>
      </c>
      <c r="AL105">
        <v>73</v>
      </c>
      <c r="AM105">
        <v>284</v>
      </c>
      <c r="AN105">
        <v>0</v>
      </c>
      <c r="AO105">
        <v>0</v>
      </c>
      <c r="AP105">
        <v>0</v>
      </c>
      <c r="AQ105">
        <v>0</v>
      </c>
      <c r="AR105">
        <v>78.2</v>
      </c>
      <c r="AS105">
        <v>60.5</v>
      </c>
      <c r="AT105">
        <v>72.27</v>
      </c>
      <c r="AU105">
        <v>0</v>
      </c>
      <c r="AV105">
        <v>0</v>
      </c>
      <c r="AW105">
        <v>248.76</v>
      </c>
      <c r="AX105">
        <v>67.31</v>
      </c>
      <c r="AY105">
        <v>227.14</v>
      </c>
      <c r="AZ105">
        <v>10.9</v>
      </c>
      <c r="BA105">
        <v>78.2</v>
      </c>
      <c r="BB105">
        <v>0</v>
      </c>
      <c r="BC105">
        <v>276</v>
      </c>
      <c r="BD105">
        <v>1081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500</v>
      </c>
      <c r="BN105">
        <v>1300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13000</v>
      </c>
      <c r="BV105">
        <v>510</v>
      </c>
      <c r="BW105" t="s">
        <v>188</v>
      </c>
      <c r="BX105">
        <v>0</v>
      </c>
      <c r="BY105" t="s">
        <v>2002</v>
      </c>
      <c r="CA105" t="s">
        <v>2003</v>
      </c>
      <c r="CB105" t="s">
        <v>2004</v>
      </c>
      <c r="CC105" t="s">
        <v>2005</v>
      </c>
      <c r="CD105" t="s">
        <v>188</v>
      </c>
      <c r="CE105" t="s">
        <v>2006</v>
      </c>
      <c r="CF105" t="s">
        <v>2007</v>
      </c>
      <c r="CG105" t="s">
        <v>2008</v>
      </c>
      <c r="CI105" t="s">
        <v>2009</v>
      </c>
      <c r="CK105" t="s">
        <v>2010</v>
      </c>
      <c r="CL105" t="s">
        <v>2011</v>
      </c>
      <c r="CM105" t="s">
        <v>2012</v>
      </c>
      <c r="CN105" t="s">
        <v>2013</v>
      </c>
      <c r="CO105" t="s">
        <v>2014</v>
      </c>
      <c r="CP105" t="s">
        <v>188</v>
      </c>
      <c r="CQ105" t="s">
        <v>188</v>
      </c>
      <c r="CR105">
        <v>63</v>
      </c>
      <c r="CS105">
        <v>0</v>
      </c>
      <c r="CT105" t="s">
        <v>2015</v>
      </c>
      <c r="CX105">
        <v>0</v>
      </c>
      <c r="CY105">
        <v>800</v>
      </c>
      <c r="CZ105">
        <v>0</v>
      </c>
      <c r="DA105">
        <v>0</v>
      </c>
      <c r="DB105" t="s">
        <v>2016</v>
      </c>
      <c r="DC105">
        <v>0</v>
      </c>
      <c r="DD105">
        <v>0</v>
      </c>
      <c r="DI105" t="s">
        <v>2017</v>
      </c>
      <c r="DJ105" t="s">
        <v>2018</v>
      </c>
      <c r="DK105">
        <v>150</v>
      </c>
      <c r="DL105" t="s">
        <v>2019</v>
      </c>
      <c r="DM105" t="s">
        <v>2019</v>
      </c>
      <c r="DO105" t="s">
        <v>2020</v>
      </c>
      <c r="DQ105" t="s">
        <v>771</v>
      </c>
      <c r="DR105">
        <v>120</v>
      </c>
      <c r="DS105" t="s">
        <v>772</v>
      </c>
      <c r="DT105">
        <v>225</v>
      </c>
      <c r="DU105" t="s">
        <v>773</v>
      </c>
      <c r="DV105">
        <v>260</v>
      </c>
      <c r="DW105" t="s">
        <v>1046</v>
      </c>
      <c r="DX105">
        <v>425</v>
      </c>
      <c r="EW105" t="s">
        <v>188</v>
      </c>
      <c r="EX105" t="s">
        <v>188</v>
      </c>
      <c r="EY105" t="s">
        <v>188</v>
      </c>
      <c r="EZ105" t="s">
        <v>188</v>
      </c>
      <c r="FA105">
        <v>4</v>
      </c>
      <c r="FB105" t="s">
        <v>188</v>
      </c>
      <c r="FC105" t="s">
        <v>681</v>
      </c>
      <c r="FD105" t="s">
        <v>682</v>
      </c>
      <c r="FE105">
        <v>1.11111111111111E+35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 t="s">
        <v>188</v>
      </c>
      <c r="GF105" t="s">
        <v>188</v>
      </c>
      <c r="GG105" t="s">
        <v>188</v>
      </c>
      <c r="GH105" s="1">
        <v>44648</v>
      </c>
      <c r="GI105" t="s">
        <v>1548</v>
      </c>
      <c r="GJ105" t="s">
        <v>1019</v>
      </c>
      <c r="GK105" t="s">
        <v>1110</v>
      </c>
      <c r="GL105">
        <v>0</v>
      </c>
      <c r="GM105">
        <v>0</v>
      </c>
      <c r="GN105">
        <v>203.2</v>
      </c>
      <c r="GO105">
        <v>152.4</v>
      </c>
      <c r="GP105">
        <v>0</v>
      </c>
      <c r="GQ105" t="s">
        <v>611</v>
      </c>
      <c r="GR105" s="1">
        <v>45792</v>
      </c>
      <c r="GS105" t="s">
        <v>1549</v>
      </c>
      <c r="GT105" t="s">
        <v>2021</v>
      </c>
      <c r="GV105" t="s">
        <v>188</v>
      </c>
      <c r="GW105" t="s">
        <v>188</v>
      </c>
      <c r="GX105" t="s">
        <v>188</v>
      </c>
      <c r="GY105" t="s">
        <v>188</v>
      </c>
      <c r="GZ105" t="s">
        <v>188</v>
      </c>
      <c r="HA105" t="s">
        <v>188</v>
      </c>
      <c r="HB105" t="s">
        <v>188</v>
      </c>
      <c r="HC105" t="s">
        <v>188</v>
      </c>
      <c r="HD105" t="s">
        <v>188</v>
      </c>
      <c r="HE105" t="s">
        <v>188</v>
      </c>
      <c r="HH105">
        <v>0</v>
      </c>
      <c r="HI105">
        <v>0</v>
      </c>
      <c r="HJ105">
        <v>79.77</v>
      </c>
      <c r="HK105">
        <v>56.97</v>
      </c>
      <c r="HL105">
        <v>247.19</v>
      </c>
      <c r="HN105" t="s">
        <v>188</v>
      </c>
      <c r="IS105">
        <v>0</v>
      </c>
      <c r="IT105">
        <v>0</v>
      </c>
      <c r="IU105">
        <v>0</v>
      </c>
      <c r="IV105">
        <v>0</v>
      </c>
      <c r="IW105">
        <v>0</v>
      </c>
      <c r="IX105" t="s">
        <v>2022</v>
      </c>
      <c r="IY105">
        <v>0</v>
      </c>
      <c r="IZ105">
        <v>0</v>
      </c>
      <c r="JA105">
        <v>0</v>
      </c>
      <c r="JB105">
        <v>0</v>
      </c>
      <c r="JC105" t="s">
        <v>613</v>
      </c>
      <c r="JD105" t="s">
        <v>2023</v>
      </c>
      <c r="JE105" t="s">
        <v>2024</v>
      </c>
      <c r="JF105">
        <v>2</v>
      </c>
      <c r="JG105" t="s">
        <v>2025</v>
      </c>
      <c r="JH105" t="s">
        <v>188</v>
      </c>
      <c r="JI105">
        <v>0</v>
      </c>
      <c r="JJ105">
        <v>0</v>
      </c>
      <c r="JK105">
        <v>240.64</v>
      </c>
      <c r="JL105">
        <v>13.9</v>
      </c>
      <c r="JM105">
        <v>9</v>
      </c>
    </row>
    <row r="106" spans="1:273" x14ac:dyDescent="0.3">
      <c r="A106" t="s">
        <v>2026</v>
      </c>
      <c r="B106" t="s">
        <v>302</v>
      </c>
      <c r="C106" t="s">
        <v>340</v>
      </c>
      <c r="D106" t="s">
        <v>657</v>
      </c>
      <c r="E106" t="s">
        <v>1939</v>
      </c>
      <c r="F106" t="s">
        <v>659</v>
      </c>
      <c r="G106">
        <v>5</v>
      </c>
      <c r="H106" t="s">
        <v>2027</v>
      </c>
      <c r="I106" t="s">
        <v>594</v>
      </c>
      <c r="J106" t="s">
        <v>993</v>
      </c>
      <c r="L106" t="s">
        <v>1824</v>
      </c>
      <c r="M106" t="s">
        <v>1986</v>
      </c>
      <c r="N106">
        <v>1</v>
      </c>
      <c r="O106">
        <v>1</v>
      </c>
      <c r="P106">
        <v>1</v>
      </c>
      <c r="Q106">
        <v>9</v>
      </c>
      <c r="R106">
        <v>2</v>
      </c>
      <c r="S106">
        <v>0</v>
      </c>
      <c r="T106">
        <v>0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 t="s">
        <v>596</v>
      </c>
      <c r="AI106">
        <v>1</v>
      </c>
      <c r="AJ106" t="s">
        <v>199</v>
      </c>
      <c r="AK106">
        <v>1</v>
      </c>
      <c r="AL106">
        <v>54</v>
      </c>
      <c r="AM106">
        <v>837</v>
      </c>
      <c r="AN106">
        <v>0</v>
      </c>
      <c r="AO106">
        <v>0</v>
      </c>
      <c r="AP106">
        <v>0</v>
      </c>
      <c r="AQ106">
        <v>425</v>
      </c>
      <c r="AR106">
        <v>45</v>
      </c>
      <c r="AS106">
        <v>31.7</v>
      </c>
      <c r="AT106">
        <v>86.43</v>
      </c>
      <c r="AU106">
        <v>0</v>
      </c>
      <c r="AV106">
        <v>0</v>
      </c>
      <c r="AW106">
        <v>719.12</v>
      </c>
      <c r="AX106">
        <v>35.479999999999997</v>
      </c>
      <c r="AY106">
        <v>289.44</v>
      </c>
      <c r="AZ106">
        <v>7.86</v>
      </c>
      <c r="BA106">
        <v>45</v>
      </c>
      <c r="BB106">
        <v>0</v>
      </c>
      <c r="BC106">
        <v>41</v>
      </c>
      <c r="BD106">
        <v>126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400</v>
      </c>
      <c r="BN106">
        <v>700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700</v>
      </c>
      <c r="BV106">
        <v>736</v>
      </c>
      <c r="BW106" t="s">
        <v>188</v>
      </c>
      <c r="BX106">
        <v>0</v>
      </c>
      <c r="BY106" t="s">
        <v>2026</v>
      </c>
      <c r="CA106">
        <v>800</v>
      </c>
      <c r="CB106">
        <v>45</v>
      </c>
      <c r="CC106">
        <v>837</v>
      </c>
      <c r="CD106" t="s">
        <v>188</v>
      </c>
      <c r="CE106" t="s">
        <v>2028</v>
      </c>
      <c r="CF106" t="s">
        <v>2029</v>
      </c>
      <c r="CG106" t="s">
        <v>2030</v>
      </c>
      <c r="CI106" t="s">
        <v>2031</v>
      </c>
      <c r="CK106">
        <v>25</v>
      </c>
      <c r="CL106" t="s">
        <v>2032</v>
      </c>
      <c r="CM106" t="s">
        <v>2033</v>
      </c>
      <c r="CN106" t="s">
        <v>2034</v>
      </c>
      <c r="CO106">
        <v>0</v>
      </c>
      <c r="CP106" t="s">
        <v>188</v>
      </c>
      <c r="CQ106" t="s">
        <v>188</v>
      </c>
      <c r="CR106">
        <v>75</v>
      </c>
      <c r="CS106">
        <v>0</v>
      </c>
      <c r="CX106">
        <v>0</v>
      </c>
      <c r="CY106">
        <v>1030</v>
      </c>
      <c r="CZ106">
        <v>0</v>
      </c>
      <c r="DA106">
        <v>0</v>
      </c>
      <c r="DB106" t="s">
        <v>2035</v>
      </c>
      <c r="DC106">
        <v>0</v>
      </c>
      <c r="DD106">
        <v>0</v>
      </c>
      <c r="DI106" t="s">
        <v>1996</v>
      </c>
      <c r="DJ106" t="s">
        <v>2036</v>
      </c>
      <c r="DK106">
        <v>300</v>
      </c>
      <c r="DQ106" t="s">
        <v>773</v>
      </c>
      <c r="DR106">
        <v>260</v>
      </c>
      <c r="DS106" t="s">
        <v>1046</v>
      </c>
      <c r="DT106">
        <v>425</v>
      </c>
      <c r="DU106">
        <v>0</v>
      </c>
      <c r="DV106">
        <v>0</v>
      </c>
      <c r="EW106" t="s">
        <v>188</v>
      </c>
      <c r="EX106" t="s">
        <v>188</v>
      </c>
      <c r="EY106" t="s">
        <v>188</v>
      </c>
      <c r="EZ106" t="s">
        <v>188</v>
      </c>
      <c r="FA106">
        <v>4</v>
      </c>
      <c r="FB106" t="s">
        <v>188</v>
      </c>
      <c r="FC106" t="s">
        <v>681</v>
      </c>
      <c r="FD106" t="s">
        <v>682</v>
      </c>
      <c r="FE106">
        <v>1111111111111110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 t="s">
        <v>188</v>
      </c>
      <c r="GF106" t="s">
        <v>188</v>
      </c>
      <c r="GG106" t="s">
        <v>188</v>
      </c>
      <c r="GH106" s="1">
        <v>44872</v>
      </c>
      <c r="GI106" t="s">
        <v>608</v>
      </c>
      <c r="GJ106" t="s">
        <v>609</v>
      </c>
      <c r="GK106" t="s">
        <v>610</v>
      </c>
      <c r="GL106">
        <v>0</v>
      </c>
      <c r="GM106">
        <v>0</v>
      </c>
      <c r="GN106">
        <v>355.6</v>
      </c>
      <c r="GO106">
        <v>304.8</v>
      </c>
      <c r="GP106">
        <v>0</v>
      </c>
      <c r="GR106" s="1">
        <v>44972</v>
      </c>
      <c r="GV106" t="s">
        <v>188</v>
      </c>
      <c r="GW106" t="s">
        <v>188</v>
      </c>
      <c r="GX106" t="s">
        <v>188</v>
      </c>
      <c r="GY106" t="s">
        <v>188</v>
      </c>
      <c r="GZ106" t="s">
        <v>188</v>
      </c>
      <c r="HA106" t="s">
        <v>188</v>
      </c>
      <c r="HB106" t="s">
        <v>188</v>
      </c>
      <c r="HC106" t="s">
        <v>188</v>
      </c>
      <c r="HD106" t="s">
        <v>188</v>
      </c>
      <c r="HE106" t="s">
        <v>188</v>
      </c>
      <c r="HH106">
        <v>0</v>
      </c>
      <c r="HI106">
        <v>0</v>
      </c>
      <c r="HJ106">
        <v>45.07</v>
      </c>
      <c r="HK106">
        <v>30.74</v>
      </c>
      <c r="HL106">
        <v>310.10000000000002</v>
      </c>
      <c r="HN106" t="s">
        <v>188</v>
      </c>
      <c r="IS106">
        <v>0</v>
      </c>
      <c r="IT106">
        <v>0</v>
      </c>
      <c r="IU106">
        <v>0</v>
      </c>
      <c r="IV106">
        <v>0</v>
      </c>
      <c r="IW106">
        <v>0</v>
      </c>
      <c r="IX106" t="s">
        <v>2037</v>
      </c>
      <c r="IY106">
        <v>0</v>
      </c>
      <c r="IZ106">
        <v>0</v>
      </c>
      <c r="JA106">
        <v>0</v>
      </c>
      <c r="JB106">
        <v>0</v>
      </c>
      <c r="JC106" t="s">
        <v>613</v>
      </c>
      <c r="JD106" t="s">
        <v>2038</v>
      </c>
      <c r="JE106" t="s">
        <v>2039</v>
      </c>
      <c r="JF106">
        <v>2</v>
      </c>
      <c r="JG106" t="s">
        <v>2040</v>
      </c>
      <c r="JH106" t="s">
        <v>188</v>
      </c>
      <c r="JI106">
        <v>0</v>
      </c>
      <c r="JJ106" t="s">
        <v>188</v>
      </c>
      <c r="JK106">
        <v>306.02999999999997</v>
      </c>
      <c r="JL106">
        <v>0</v>
      </c>
      <c r="JM106">
        <v>1</v>
      </c>
    </row>
    <row r="107" spans="1:273" x14ac:dyDescent="0.3">
      <c r="A107" t="s">
        <v>2041</v>
      </c>
      <c r="B107" t="s">
        <v>302</v>
      </c>
      <c r="C107" t="s">
        <v>340</v>
      </c>
      <c r="D107" t="s">
        <v>590</v>
      </c>
      <c r="E107" t="s">
        <v>2042</v>
      </c>
      <c r="F107" t="s">
        <v>659</v>
      </c>
      <c r="G107" t="s">
        <v>837</v>
      </c>
      <c r="I107" t="s">
        <v>2043</v>
      </c>
      <c r="J107" t="s">
        <v>993</v>
      </c>
      <c r="N107">
        <v>5</v>
      </c>
      <c r="O107">
        <v>5</v>
      </c>
      <c r="P107">
        <v>1</v>
      </c>
      <c r="Q107">
        <v>12</v>
      </c>
      <c r="R107">
        <v>2</v>
      </c>
      <c r="S107">
        <v>0</v>
      </c>
      <c r="T107">
        <v>0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 t="s">
        <v>869</v>
      </c>
      <c r="AI107">
        <v>0.2777</v>
      </c>
      <c r="AJ107" t="s">
        <v>199</v>
      </c>
      <c r="AK107">
        <v>1</v>
      </c>
      <c r="AL107">
        <v>111</v>
      </c>
      <c r="AM107">
        <v>604.1</v>
      </c>
      <c r="AN107">
        <v>0</v>
      </c>
      <c r="AO107">
        <v>0</v>
      </c>
      <c r="AP107">
        <v>0</v>
      </c>
      <c r="AQ107">
        <v>0</v>
      </c>
      <c r="AR107">
        <v>172.4</v>
      </c>
      <c r="AS107">
        <v>118.7</v>
      </c>
      <c r="AT107">
        <v>83.94</v>
      </c>
      <c r="AU107">
        <v>0</v>
      </c>
      <c r="AV107">
        <v>0</v>
      </c>
      <c r="AW107">
        <v>434.52</v>
      </c>
      <c r="AX107">
        <v>156.01</v>
      </c>
      <c r="AY107">
        <v>219.89</v>
      </c>
      <c r="AZ107">
        <v>0</v>
      </c>
      <c r="BA107">
        <v>172.4</v>
      </c>
      <c r="BB107">
        <v>0</v>
      </c>
      <c r="BC107">
        <v>19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1000</v>
      </c>
      <c r="BN107">
        <v>2400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2400</v>
      </c>
      <c r="BV107">
        <v>440</v>
      </c>
      <c r="BW107" t="s">
        <v>188</v>
      </c>
      <c r="BX107">
        <v>0</v>
      </c>
      <c r="BY107" t="s">
        <v>2044</v>
      </c>
      <c r="CA107" t="s">
        <v>2045</v>
      </c>
      <c r="CB107" t="s">
        <v>2046</v>
      </c>
      <c r="CC107" t="s">
        <v>2047</v>
      </c>
      <c r="CD107" t="s">
        <v>188</v>
      </c>
      <c r="CE107" t="s">
        <v>2048</v>
      </c>
      <c r="CF107" t="s">
        <v>2049</v>
      </c>
      <c r="CG107" t="s">
        <v>2050</v>
      </c>
      <c r="CI107" t="s">
        <v>2051</v>
      </c>
      <c r="CK107" t="s">
        <v>2052</v>
      </c>
      <c r="CL107" t="s">
        <v>2053</v>
      </c>
      <c r="CM107" t="s">
        <v>2054</v>
      </c>
      <c r="CN107" t="s">
        <v>2055</v>
      </c>
      <c r="CO107" t="s">
        <v>995</v>
      </c>
      <c r="CP107" t="s">
        <v>188</v>
      </c>
      <c r="CQ107" t="s">
        <v>188</v>
      </c>
      <c r="CR107">
        <v>0</v>
      </c>
      <c r="CS107">
        <v>0</v>
      </c>
      <c r="CX107">
        <v>0</v>
      </c>
      <c r="CY107">
        <v>0</v>
      </c>
      <c r="CZ107">
        <v>0</v>
      </c>
      <c r="DA107">
        <v>0</v>
      </c>
      <c r="DC107">
        <v>0</v>
      </c>
      <c r="DD107">
        <v>0</v>
      </c>
      <c r="EW107" t="s">
        <v>188</v>
      </c>
      <c r="EX107" t="s">
        <v>188</v>
      </c>
      <c r="EY107" t="s">
        <v>188</v>
      </c>
      <c r="EZ107" t="s">
        <v>188</v>
      </c>
      <c r="FA107">
        <v>4</v>
      </c>
      <c r="FB107" t="s">
        <v>188</v>
      </c>
      <c r="FC107" t="s">
        <v>681</v>
      </c>
      <c r="FD107" t="s">
        <v>682</v>
      </c>
      <c r="FE107">
        <v>1.1111111111111101E+31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 t="s">
        <v>188</v>
      </c>
      <c r="GF107" t="s">
        <v>188</v>
      </c>
      <c r="GG107" t="s">
        <v>188</v>
      </c>
      <c r="GH107" s="1">
        <v>46134</v>
      </c>
      <c r="GJ107" t="s">
        <v>812</v>
      </c>
      <c r="GK107" t="s">
        <v>812</v>
      </c>
      <c r="GL107">
        <v>0</v>
      </c>
      <c r="GM107">
        <v>0</v>
      </c>
      <c r="GN107">
        <v>0</v>
      </c>
      <c r="GO107">
        <v>0</v>
      </c>
      <c r="GP107">
        <v>0</v>
      </c>
      <c r="GR107" s="1">
        <v>46134</v>
      </c>
      <c r="GV107" t="s">
        <v>188</v>
      </c>
      <c r="GW107" t="s">
        <v>188</v>
      </c>
      <c r="GX107" t="s">
        <v>188</v>
      </c>
      <c r="GY107" t="s">
        <v>188</v>
      </c>
      <c r="GZ107" t="s">
        <v>188</v>
      </c>
      <c r="HA107" t="s">
        <v>188</v>
      </c>
      <c r="HB107" t="s">
        <v>188</v>
      </c>
      <c r="HC107" t="s">
        <v>188</v>
      </c>
      <c r="HD107" t="s">
        <v>188</v>
      </c>
      <c r="HE107" t="s">
        <v>188</v>
      </c>
      <c r="HH107">
        <v>0</v>
      </c>
      <c r="HI107">
        <v>0</v>
      </c>
      <c r="HJ107">
        <v>176.28</v>
      </c>
      <c r="HK107">
        <v>139.22</v>
      </c>
      <c r="HL107">
        <v>241.68</v>
      </c>
      <c r="HN107" t="s">
        <v>188</v>
      </c>
      <c r="IS107">
        <v>0</v>
      </c>
      <c r="IT107">
        <v>0</v>
      </c>
      <c r="IU107">
        <v>0</v>
      </c>
      <c r="IV107">
        <v>0</v>
      </c>
      <c r="IW107">
        <v>0</v>
      </c>
      <c r="IX107" t="s">
        <v>2056</v>
      </c>
      <c r="IY107">
        <v>0</v>
      </c>
      <c r="IZ107">
        <v>0</v>
      </c>
      <c r="JA107">
        <v>0</v>
      </c>
      <c r="JB107">
        <v>0</v>
      </c>
      <c r="JC107" t="s">
        <v>613</v>
      </c>
      <c r="JD107" t="s">
        <v>2057</v>
      </c>
      <c r="JE107" t="s">
        <v>2058</v>
      </c>
      <c r="JF107">
        <v>0</v>
      </c>
      <c r="JG107" t="s">
        <v>2059</v>
      </c>
      <c r="JH107" t="s">
        <v>188</v>
      </c>
      <c r="JI107">
        <v>0</v>
      </c>
      <c r="JJ107" t="s">
        <v>188</v>
      </c>
      <c r="JK107">
        <v>267.43</v>
      </c>
      <c r="JL107">
        <v>0</v>
      </c>
      <c r="JM107">
        <v>5</v>
      </c>
    </row>
    <row r="108" spans="1:273" x14ac:dyDescent="0.3">
      <c r="A108" t="s">
        <v>2060</v>
      </c>
      <c r="B108" t="s">
        <v>302</v>
      </c>
      <c r="C108" t="s">
        <v>340</v>
      </c>
      <c r="D108" t="s">
        <v>590</v>
      </c>
      <c r="E108" t="s">
        <v>2042</v>
      </c>
      <c r="F108" t="s">
        <v>659</v>
      </c>
      <c r="G108">
        <v>6</v>
      </c>
      <c r="I108" t="s">
        <v>2043</v>
      </c>
      <c r="J108" t="s">
        <v>993</v>
      </c>
      <c r="N108">
        <v>1</v>
      </c>
      <c r="O108">
        <v>1</v>
      </c>
      <c r="P108">
        <v>1</v>
      </c>
      <c r="Q108">
        <v>10</v>
      </c>
      <c r="R108">
        <v>2</v>
      </c>
      <c r="S108">
        <v>0</v>
      </c>
      <c r="T108">
        <v>0</v>
      </c>
      <c r="U108">
        <v>0</v>
      </c>
      <c r="V108" t="s">
        <v>188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 t="s">
        <v>869</v>
      </c>
      <c r="AI108">
        <v>0.2777</v>
      </c>
      <c r="AJ108" t="s">
        <v>199</v>
      </c>
      <c r="AK108">
        <v>1</v>
      </c>
      <c r="AL108">
        <v>282.8</v>
      </c>
      <c r="AM108">
        <v>1207</v>
      </c>
      <c r="AN108">
        <v>0</v>
      </c>
      <c r="AO108">
        <v>0</v>
      </c>
      <c r="AP108">
        <v>0</v>
      </c>
      <c r="AQ108">
        <v>0</v>
      </c>
      <c r="AR108">
        <v>211.1</v>
      </c>
      <c r="AS108">
        <v>149.30000000000001</v>
      </c>
      <c r="AT108">
        <v>81.64</v>
      </c>
      <c r="AU108">
        <v>0</v>
      </c>
      <c r="AV108">
        <v>0</v>
      </c>
      <c r="AW108">
        <v>1023.96</v>
      </c>
      <c r="AX108">
        <v>180.84</v>
      </c>
      <c r="AY108">
        <v>617.48</v>
      </c>
      <c r="AZ108">
        <v>0</v>
      </c>
      <c r="BA108">
        <v>211.1</v>
      </c>
      <c r="BB108">
        <v>0</v>
      </c>
      <c r="BC108">
        <v>28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1000</v>
      </c>
      <c r="BN108">
        <v>2600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2600</v>
      </c>
      <c r="BV108">
        <v>440</v>
      </c>
      <c r="BW108" t="s">
        <v>188</v>
      </c>
      <c r="BX108">
        <v>0</v>
      </c>
      <c r="BY108" t="s">
        <v>2060</v>
      </c>
      <c r="CA108">
        <v>2600</v>
      </c>
      <c r="CB108">
        <v>211.1</v>
      </c>
      <c r="CC108">
        <v>1207</v>
      </c>
      <c r="CD108" t="s">
        <v>188</v>
      </c>
      <c r="CE108" t="s">
        <v>2061</v>
      </c>
      <c r="CF108" t="s">
        <v>2062</v>
      </c>
      <c r="CG108" t="s">
        <v>2063</v>
      </c>
      <c r="CI108" t="s">
        <v>2064</v>
      </c>
      <c r="CK108">
        <v>100</v>
      </c>
      <c r="CL108" t="s">
        <v>2065</v>
      </c>
      <c r="CM108" t="s">
        <v>2066</v>
      </c>
      <c r="CN108" t="s">
        <v>602</v>
      </c>
      <c r="CO108">
        <v>0</v>
      </c>
      <c r="CP108" t="s">
        <v>188</v>
      </c>
      <c r="CQ108" t="s">
        <v>188</v>
      </c>
      <c r="CR108">
        <v>0</v>
      </c>
      <c r="CS108">
        <v>0</v>
      </c>
      <c r="CX108">
        <v>0</v>
      </c>
      <c r="CY108">
        <v>0</v>
      </c>
      <c r="CZ108">
        <v>0</v>
      </c>
      <c r="DA108">
        <v>0</v>
      </c>
      <c r="DC108">
        <v>0</v>
      </c>
      <c r="DD108">
        <v>0</v>
      </c>
      <c r="DQ108" t="s">
        <v>837</v>
      </c>
      <c r="DR108">
        <v>600</v>
      </c>
      <c r="EW108" t="s">
        <v>188</v>
      </c>
      <c r="EX108" t="s">
        <v>188</v>
      </c>
      <c r="EY108" t="s">
        <v>188</v>
      </c>
      <c r="EZ108" t="s">
        <v>188</v>
      </c>
      <c r="FA108">
        <v>4</v>
      </c>
      <c r="FB108" t="s">
        <v>188</v>
      </c>
      <c r="FC108" t="s">
        <v>681</v>
      </c>
      <c r="FD108" t="s">
        <v>682</v>
      </c>
      <c r="FE108">
        <v>1.11111111111111E+27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 t="s">
        <v>188</v>
      </c>
      <c r="GF108" t="s">
        <v>188</v>
      </c>
      <c r="GG108" t="s">
        <v>188</v>
      </c>
      <c r="GH108" s="1">
        <v>46133</v>
      </c>
      <c r="GJ108" t="s">
        <v>812</v>
      </c>
      <c r="GK108" t="s">
        <v>812</v>
      </c>
      <c r="GL108">
        <v>0</v>
      </c>
      <c r="GM108">
        <v>0</v>
      </c>
      <c r="GN108">
        <v>0</v>
      </c>
      <c r="GO108">
        <v>0</v>
      </c>
      <c r="GP108">
        <v>0</v>
      </c>
      <c r="GR108" s="1">
        <v>46133</v>
      </c>
      <c r="GV108" t="s">
        <v>188</v>
      </c>
      <c r="GW108" t="s">
        <v>188</v>
      </c>
      <c r="GX108" t="s">
        <v>188</v>
      </c>
      <c r="GY108" t="s">
        <v>188</v>
      </c>
      <c r="GZ108" t="s">
        <v>188</v>
      </c>
      <c r="HA108" t="s">
        <v>188</v>
      </c>
      <c r="HB108" t="s">
        <v>188</v>
      </c>
      <c r="HC108" t="s">
        <v>188</v>
      </c>
      <c r="HD108" t="s">
        <v>188</v>
      </c>
      <c r="HE108" t="s">
        <v>188</v>
      </c>
      <c r="HH108">
        <v>0</v>
      </c>
      <c r="HI108">
        <v>0</v>
      </c>
      <c r="HJ108">
        <v>220.77</v>
      </c>
      <c r="HK108">
        <v>145.03</v>
      </c>
      <c r="HL108">
        <v>651.35</v>
      </c>
      <c r="HN108" t="s">
        <v>188</v>
      </c>
      <c r="IS108">
        <v>0</v>
      </c>
      <c r="IT108">
        <v>0</v>
      </c>
      <c r="IU108">
        <v>0</v>
      </c>
      <c r="IV108">
        <v>0</v>
      </c>
      <c r="IW108">
        <v>0</v>
      </c>
      <c r="IX108" t="s">
        <v>2067</v>
      </c>
      <c r="IY108">
        <v>0</v>
      </c>
      <c r="IZ108">
        <v>0</v>
      </c>
      <c r="JA108">
        <v>0</v>
      </c>
      <c r="JB108">
        <v>0</v>
      </c>
      <c r="JC108" t="s">
        <v>613</v>
      </c>
      <c r="JD108" t="s">
        <v>2068</v>
      </c>
      <c r="JE108" t="s">
        <v>2069</v>
      </c>
      <c r="JF108">
        <v>0</v>
      </c>
      <c r="JG108" t="s">
        <v>2070</v>
      </c>
      <c r="JH108" t="s">
        <v>188</v>
      </c>
      <c r="JI108">
        <v>0</v>
      </c>
      <c r="JJ108">
        <v>0</v>
      </c>
      <c r="JK108">
        <v>637.16999999999996</v>
      </c>
      <c r="JL108">
        <v>0</v>
      </c>
      <c r="JM108">
        <v>1</v>
      </c>
    </row>
    <row r="109" spans="1:273" x14ac:dyDescent="0.3">
      <c r="A109" t="s">
        <v>2071</v>
      </c>
      <c r="B109" t="s">
        <v>302</v>
      </c>
      <c r="C109" t="s">
        <v>2072</v>
      </c>
      <c r="D109" t="s">
        <v>590</v>
      </c>
      <c r="E109" t="s">
        <v>2042</v>
      </c>
      <c r="F109" t="s">
        <v>659</v>
      </c>
      <c r="G109">
        <v>6</v>
      </c>
      <c r="H109" t="s">
        <v>659</v>
      </c>
      <c r="I109" t="s">
        <v>2043</v>
      </c>
      <c r="J109" t="s">
        <v>993</v>
      </c>
      <c r="N109">
        <v>1</v>
      </c>
      <c r="O109">
        <v>1</v>
      </c>
      <c r="P109">
        <v>1</v>
      </c>
      <c r="Q109">
        <v>11</v>
      </c>
      <c r="R109">
        <v>2</v>
      </c>
      <c r="S109">
        <v>0</v>
      </c>
      <c r="T109">
        <v>0</v>
      </c>
      <c r="U109">
        <v>0</v>
      </c>
      <c r="V109" t="s">
        <v>188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 t="s">
        <v>869</v>
      </c>
      <c r="AI109">
        <v>0.2777</v>
      </c>
      <c r="AJ109" t="s">
        <v>199</v>
      </c>
      <c r="AK109">
        <v>1</v>
      </c>
      <c r="AL109">
        <v>140.6</v>
      </c>
      <c r="AM109">
        <v>714.3</v>
      </c>
      <c r="AN109">
        <v>0</v>
      </c>
      <c r="AO109">
        <v>0</v>
      </c>
      <c r="AP109">
        <v>0</v>
      </c>
      <c r="AQ109">
        <v>0</v>
      </c>
      <c r="AR109">
        <v>211.8</v>
      </c>
      <c r="AS109">
        <v>150.6</v>
      </c>
      <c r="AT109">
        <v>80.63</v>
      </c>
      <c r="AU109">
        <v>0</v>
      </c>
      <c r="AV109">
        <v>0</v>
      </c>
      <c r="AW109">
        <v>597.01</v>
      </c>
      <c r="AX109">
        <v>176.99</v>
      </c>
      <c r="AY109">
        <v>356.8</v>
      </c>
      <c r="AZ109">
        <v>0</v>
      </c>
      <c r="BA109">
        <v>211.8</v>
      </c>
      <c r="BB109">
        <v>0</v>
      </c>
      <c r="BC109">
        <v>18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1000</v>
      </c>
      <c r="BN109">
        <v>2100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2100</v>
      </c>
      <c r="BV109">
        <v>540</v>
      </c>
      <c r="BW109" t="s">
        <v>188</v>
      </c>
      <c r="BX109">
        <v>0</v>
      </c>
      <c r="BY109" t="s">
        <v>2071</v>
      </c>
      <c r="CA109">
        <v>2100</v>
      </c>
      <c r="CB109">
        <v>211.8</v>
      </c>
      <c r="CC109">
        <v>714.3</v>
      </c>
      <c r="CD109" t="s">
        <v>188</v>
      </c>
      <c r="CE109" t="s">
        <v>2073</v>
      </c>
      <c r="CF109" t="s">
        <v>2074</v>
      </c>
      <c r="CG109" t="s">
        <v>2075</v>
      </c>
      <c r="CI109" t="s">
        <v>2076</v>
      </c>
      <c r="CK109">
        <v>25</v>
      </c>
      <c r="CL109" t="s">
        <v>2077</v>
      </c>
      <c r="CM109" t="s">
        <v>2078</v>
      </c>
      <c r="CN109" t="s">
        <v>602</v>
      </c>
      <c r="CO109">
        <v>0</v>
      </c>
      <c r="CP109" t="s">
        <v>188</v>
      </c>
      <c r="CQ109" t="s">
        <v>188</v>
      </c>
      <c r="CR109">
        <v>10</v>
      </c>
      <c r="CS109">
        <v>0</v>
      </c>
      <c r="CX109">
        <v>0</v>
      </c>
      <c r="CY109">
        <v>0</v>
      </c>
      <c r="CZ109">
        <v>0</v>
      </c>
      <c r="DA109">
        <v>0</v>
      </c>
      <c r="DC109">
        <v>0</v>
      </c>
      <c r="DD109">
        <v>0</v>
      </c>
      <c r="DQ109" t="s">
        <v>837</v>
      </c>
      <c r="DR109">
        <v>600</v>
      </c>
      <c r="EH109">
        <v>600</v>
      </c>
      <c r="EW109" t="s">
        <v>188</v>
      </c>
      <c r="EX109" t="s">
        <v>188</v>
      </c>
      <c r="EY109" t="s">
        <v>188</v>
      </c>
      <c r="EZ109" t="s">
        <v>188</v>
      </c>
      <c r="FA109">
        <v>4</v>
      </c>
      <c r="FB109" t="s">
        <v>188</v>
      </c>
      <c r="FC109" t="s">
        <v>681</v>
      </c>
      <c r="FD109" t="s">
        <v>682</v>
      </c>
      <c r="FE109">
        <v>1.11111111111111E+27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 t="s">
        <v>188</v>
      </c>
      <c r="GF109" t="s">
        <v>188</v>
      </c>
      <c r="GG109" t="s">
        <v>188</v>
      </c>
      <c r="GH109" s="1">
        <v>46163</v>
      </c>
      <c r="GJ109" t="s">
        <v>1110</v>
      </c>
      <c r="GK109" t="s">
        <v>812</v>
      </c>
      <c r="GL109">
        <v>0</v>
      </c>
      <c r="GM109">
        <v>0</v>
      </c>
      <c r="GN109">
        <v>0</v>
      </c>
      <c r="GO109">
        <v>0</v>
      </c>
      <c r="GP109">
        <v>0</v>
      </c>
      <c r="GR109" s="1">
        <v>46163</v>
      </c>
      <c r="GV109" t="s">
        <v>188</v>
      </c>
      <c r="GW109" t="s">
        <v>188</v>
      </c>
      <c r="GX109" t="s">
        <v>188</v>
      </c>
      <c r="GY109" t="s">
        <v>188</v>
      </c>
      <c r="GZ109" t="s">
        <v>188</v>
      </c>
      <c r="HA109" t="s">
        <v>188</v>
      </c>
      <c r="HB109" t="s">
        <v>188</v>
      </c>
      <c r="HC109" t="s">
        <v>188</v>
      </c>
      <c r="HD109" t="s">
        <v>188</v>
      </c>
      <c r="HE109" t="s">
        <v>188</v>
      </c>
      <c r="HH109">
        <v>0</v>
      </c>
      <c r="HI109">
        <v>0</v>
      </c>
      <c r="HJ109">
        <v>210.83</v>
      </c>
      <c r="HK109">
        <v>149.94</v>
      </c>
      <c r="HL109">
        <v>391.29</v>
      </c>
      <c r="HN109" t="s">
        <v>188</v>
      </c>
      <c r="IS109">
        <v>0</v>
      </c>
      <c r="IT109">
        <v>0</v>
      </c>
      <c r="IU109">
        <v>0</v>
      </c>
      <c r="IV109">
        <v>0</v>
      </c>
      <c r="IW109">
        <v>0</v>
      </c>
      <c r="IX109" t="s">
        <v>2079</v>
      </c>
      <c r="IY109">
        <v>0</v>
      </c>
      <c r="IZ109">
        <v>0</v>
      </c>
      <c r="JA109">
        <v>0</v>
      </c>
      <c r="JB109">
        <v>0</v>
      </c>
      <c r="JC109" t="s">
        <v>613</v>
      </c>
      <c r="JD109" t="s">
        <v>2080</v>
      </c>
      <c r="JE109" t="s">
        <v>2081</v>
      </c>
      <c r="JF109">
        <v>0</v>
      </c>
      <c r="JG109" t="s">
        <v>2082</v>
      </c>
      <c r="JH109" t="s">
        <v>188</v>
      </c>
      <c r="JI109">
        <v>0</v>
      </c>
      <c r="JJ109">
        <v>0</v>
      </c>
      <c r="JK109">
        <v>390.5</v>
      </c>
      <c r="JL109">
        <v>0</v>
      </c>
      <c r="JM109">
        <v>1</v>
      </c>
    </row>
    <row r="110" spans="1:273" x14ac:dyDescent="0.3">
      <c r="A110" t="s">
        <v>2083</v>
      </c>
      <c r="B110" t="s">
        <v>302</v>
      </c>
      <c r="C110" t="s">
        <v>340</v>
      </c>
      <c r="D110" t="s">
        <v>657</v>
      </c>
      <c r="E110" t="s">
        <v>2001</v>
      </c>
      <c r="F110" t="s">
        <v>592</v>
      </c>
      <c r="G110">
        <v>5</v>
      </c>
      <c r="H110" t="s">
        <v>2084</v>
      </c>
      <c r="I110" t="s">
        <v>594</v>
      </c>
      <c r="J110" t="s">
        <v>595</v>
      </c>
      <c r="L110" t="s">
        <v>2001</v>
      </c>
      <c r="M110" t="s">
        <v>2083</v>
      </c>
      <c r="N110">
        <v>4</v>
      </c>
      <c r="O110">
        <v>4</v>
      </c>
      <c r="P110">
        <v>1</v>
      </c>
      <c r="Q110">
        <v>6</v>
      </c>
      <c r="R110">
        <v>2</v>
      </c>
      <c r="S110">
        <v>0</v>
      </c>
      <c r="T110">
        <v>0</v>
      </c>
      <c r="U110">
        <v>0</v>
      </c>
      <c r="V110" t="s">
        <v>188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 t="s">
        <v>188</v>
      </c>
      <c r="AD110">
        <v>1</v>
      </c>
      <c r="AE110">
        <v>0</v>
      </c>
      <c r="AF110">
        <v>0</v>
      </c>
      <c r="AG110">
        <v>0</v>
      </c>
      <c r="AH110" t="s">
        <v>596</v>
      </c>
      <c r="AI110">
        <v>1</v>
      </c>
      <c r="AJ110" t="s">
        <v>199</v>
      </c>
      <c r="AK110">
        <v>1</v>
      </c>
      <c r="AL110">
        <v>108</v>
      </c>
      <c r="AM110">
        <v>405</v>
      </c>
      <c r="AN110">
        <v>0</v>
      </c>
      <c r="AO110">
        <v>0</v>
      </c>
      <c r="AP110">
        <v>0</v>
      </c>
      <c r="AQ110">
        <v>286</v>
      </c>
      <c r="AR110">
        <v>67</v>
      </c>
      <c r="AS110">
        <v>12</v>
      </c>
      <c r="AT110">
        <v>73.88</v>
      </c>
      <c r="AU110">
        <v>0</v>
      </c>
      <c r="AV110">
        <v>0</v>
      </c>
      <c r="AW110">
        <v>346.29</v>
      </c>
      <c r="AX110">
        <v>50.23</v>
      </c>
      <c r="AY110">
        <v>230.83</v>
      </c>
      <c r="AZ110">
        <v>11.8</v>
      </c>
      <c r="BA110">
        <v>66.5</v>
      </c>
      <c r="BB110">
        <v>0</v>
      </c>
      <c r="BC110">
        <v>34</v>
      </c>
      <c r="BD110">
        <v>102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600</v>
      </c>
      <c r="BN110">
        <v>1100</v>
      </c>
      <c r="BO110">
        <v>0</v>
      </c>
      <c r="BP110">
        <v>0</v>
      </c>
      <c r="BQ110">
        <v>0</v>
      </c>
      <c r="BR110">
        <v>90</v>
      </c>
      <c r="BS110">
        <v>0</v>
      </c>
      <c r="BT110">
        <v>0</v>
      </c>
      <c r="BU110">
        <v>1100</v>
      </c>
      <c r="BV110">
        <v>549</v>
      </c>
      <c r="BW110" t="s">
        <v>188</v>
      </c>
      <c r="BX110">
        <v>0</v>
      </c>
      <c r="BY110" t="s">
        <v>2085</v>
      </c>
      <c r="BZ110" t="s">
        <v>930</v>
      </c>
      <c r="CA110" t="s">
        <v>2086</v>
      </c>
      <c r="CB110" t="s">
        <v>2087</v>
      </c>
      <c r="CC110" t="s">
        <v>2088</v>
      </c>
      <c r="CD110" t="s">
        <v>188</v>
      </c>
      <c r="CE110" t="s">
        <v>2089</v>
      </c>
      <c r="CF110" t="s">
        <v>2090</v>
      </c>
      <c r="CG110" t="s">
        <v>2091</v>
      </c>
      <c r="CI110" t="s">
        <v>2092</v>
      </c>
      <c r="CK110" t="s">
        <v>970</v>
      </c>
      <c r="CL110" t="s">
        <v>2093</v>
      </c>
      <c r="CM110" t="s">
        <v>2094</v>
      </c>
      <c r="CN110" t="s">
        <v>2095</v>
      </c>
      <c r="CO110" t="s">
        <v>930</v>
      </c>
      <c r="CP110" t="s">
        <v>188</v>
      </c>
      <c r="CQ110" t="s">
        <v>188</v>
      </c>
      <c r="CR110">
        <v>80</v>
      </c>
      <c r="CS110">
        <v>0</v>
      </c>
      <c r="CT110" t="s">
        <v>2096</v>
      </c>
      <c r="CU110" t="s">
        <v>773</v>
      </c>
      <c r="CV110" t="s">
        <v>1042</v>
      </c>
      <c r="CX110">
        <v>1400</v>
      </c>
      <c r="CY110">
        <v>2100</v>
      </c>
      <c r="CZ110">
        <v>1.5</v>
      </c>
      <c r="DA110">
        <v>0</v>
      </c>
      <c r="DB110" t="s">
        <v>2097</v>
      </c>
      <c r="DC110">
        <v>0</v>
      </c>
      <c r="DD110">
        <v>0</v>
      </c>
      <c r="DI110" t="s">
        <v>2098</v>
      </c>
      <c r="DJ110" t="s">
        <v>2099</v>
      </c>
      <c r="DK110">
        <v>200</v>
      </c>
      <c r="DQ110" t="s">
        <v>771</v>
      </c>
      <c r="DR110">
        <v>120</v>
      </c>
      <c r="DS110" t="s">
        <v>772</v>
      </c>
      <c r="DT110">
        <v>225</v>
      </c>
      <c r="DU110" t="s">
        <v>773</v>
      </c>
      <c r="DV110">
        <v>260</v>
      </c>
      <c r="EW110" t="s">
        <v>188</v>
      </c>
      <c r="EX110" t="s">
        <v>188</v>
      </c>
      <c r="EY110" t="s">
        <v>188</v>
      </c>
      <c r="EZ110" t="s">
        <v>188</v>
      </c>
      <c r="FA110">
        <v>4</v>
      </c>
      <c r="FB110" t="s">
        <v>188</v>
      </c>
      <c r="FC110" t="s">
        <v>681</v>
      </c>
      <c r="FD110" t="s">
        <v>682</v>
      </c>
      <c r="FE110">
        <v>1.1111111111111099E+23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 t="s">
        <v>188</v>
      </c>
      <c r="GF110" t="s">
        <v>188</v>
      </c>
      <c r="GG110" t="s">
        <v>188</v>
      </c>
      <c r="GH110" t="s">
        <v>188</v>
      </c>
      <c r="GI110" t="s">
        <v>608</v>
      </c>
      <c r="GJ110" t="s">
        <v>609</v>
      </c>
      <c r="GK110" t="s">
        <v>610</v>
      </c>
      <c r="GN110">
        <v>254</v>
      </c>
      <c r="GO110">
        <v>203.2</v>
      </c>
      <c r="GP110">
        <v>0</v>
      </c>
      <c r="GR110" s="1">
        <v>44722</v>
      </c>
      <c r="GV110" t="s">
        <v>188</v>
      </c>
      <c r="GW110" t="s">
        <v>188</v>
      </c>
      <c r="GX110" t="s">
        <v>188</v>
      </c>
      <c r="GY110" t="s">
        <v>188</v>
      </c>
      <c r="GZ110" t="s">
        <v>188</v>
      </c>
      <c r="HA110" t="s">
        <v>188</v>
      </c>
      <c r="HB110" t="s">
        <v>188</v>
      </c>
      <c r="HC110" t="s">
        <v>188</v>
      </c>
      <c r="HD110" t="s">
        <v>188</v>
      </c>
      <c r="HE110" t="s">
        <v>188</v>
      </c>
      <c r="HH110">
        <v>0</v>
      </c>
      <c r="HI110">
        <v>0</v>
      </c>
      <c r="HJ110">
        <v>65.81</v>
      </c>
      <c r="HK110">
        <v>44.63</v>
      </c>
      <c r="HL110">
        <v>269.48</v>
      </c>
      <c r="HN110" t="s">
        <v>188</v>
      </c>
      <c r="IS110">
        <v>0</v>
      </c>
      <c r="IT110">
        <v>0</v>
      </c>
      <c r="IU110">
        <v>0</v>
      </c>
      <c r="IV110">
        <v>0</v>
      </c>
      <c r="IW110">
        <v>0</v>
      </c>
      <c r="IX110" t="s">
        <v>2100</v>
      </c>
      <c r="IY110">
        <v>0</v>
      </c>
      <c r="IZ110">
        <v>0</v>
      </c>
      <c r="JA110">
        <v>0</v>
      </c>
      <c r="JB110">
        <v>0</v>
      </c>
      <c r="JC110" t="s">
        <v>613</v>
      </c>
      <c r="JD110" t="s">
        <v>2101</v>
      </c>
      <c r="JE110" t="s">
        <v>2102</v>
      </c>
      <c r="JF110">
        <v>2</v>
      </c>
      <c r="JG110" t="s">
        <v>2103</v>
      </c>
      <c r="JH110" t="s">
        <v>188</v>
      </c>
      <c r="JI110">
        <v>0</v>
      </c>
      <c r="JJ110" t="s">
        <v>188</v>
      </c>
      <c r="JK110">
        <v>259.94</v>
      </c>
      <c r="JL110">
        <v>14</v>
      </c>
      <c r="JM110">
        <v>4</v>
      </c>
    </row>
    <row r="111" spans="1:273" x14ac:dyDescent="0.3">
      <c r="A111" t="s">
        <v>2104</v>
      </c>
      <c r="B111" t="s">
        <v>302</v>
      </c>
      <c r="C111" t="s">
        <v>340</v>
      </c>
      <c r="D111" t="s">
        <v>657</v>
      </c>
      <c r="E111" t="s">
        <v>2001</v>
      </c>
      <c r="F111" t="s">
        <v>592</v>
      </c>
      <c r="G111">
        <v>5</v>
      </c>
      <c r="H111" t="s">
        <v>2105</v>
      </c>
      <c r="I111" t="s">
        <v>594</v>
      </c>
      <c r="J111" t="s">
        <v>595</v>
      </c>
      <c r="L111" t="s">
        <v>2001</v>
      </c>
      <c r="M111" t="s">
        <v>2104</v>
      </c>
      <c r="N111">
        <v>1</v>
      </c>
      <c r="O111">
        <v>1</v>
      </c>
      <c r="P111">
        <v>1</v>
      </c>
      <c r="Q111">
        <v>8</v>
      </c>
      <c r="R111">
        <v>2</v>
      </c>
      <c r="S111">
        <v>0</v>
      </c>
      <c r="T111">
        <v>0</v>
      </c>
      <c r="U111">
        <v>0</v>
      </c>
      <c r="V111" t="s">
        <v>188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 t="s">
        <v>188</v>
      </c>
      <c r="AD111">
        <v>0</v>
      </c>
      <c r="AE111">
        <v>0</v>
      </c>
      <c r="AF111">
        <v>0</v>
      </c>
      <c r="AG111">
        <v>0</v>
      </c>
      <c r="AH111" t="s">
        <v>596</v>
      </c>
      <c r="AI111">
        <v>1</v>
      </c>
      <c r="AJ111" t="s">
        <v>199</v>
      </c>
      <c r="AK111">
        <v>1</v>
      </c>
      <c r="AL111">
        <v>26.5</v>
      </c>
      <c r="AM111">
        <v>147</v>
      </c>
      <c r="AN111">
        <v>0</v>
      </c>
      <c r="AO111">
        <v>0</v>
      </c>
      <c r="AP111">
        <v>0</v>
      </c>
      <c r="AQ111">
        <v>0</v>
      </c>
      <c r="AR111">
        <v>80</v>
      </c>
      <c r="AS111">
        <v>56.3</v>
      </c>
      <c r="AT111">
        <v>70.64</v>
      </c>
      <c r="AU111">
        <v>0</v>
      </c>
      <c r="AV111">
        <v>0</v>
      </c>
      <c r="AW111">
        <v>124.48</v>
      </c>
      <c r="AX111">
        <v>62.64</v>
      </c>
      <c r="AY111">
        <v>108.22</v>
      </c>
      <c r="AZ111">
        <v>10.19</v>
      </c>
      <c r="BA111">
        <v>80</v>
      </c>
      <c r="BB111">
        <v>0</v>
      </c>
      <c r="BC111">
        <v>29</v>
      </c>
      <c r="BD111">
        <v>111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800</v>
      </c>
      <c r="BN111">
        <v>1800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1800</v>
      </c>
      <c r="BV111">
        <v>365</v>
      </c>
      <c r="BW111" t="s">
        <v>188</v>
      </c>
      <c r="BX111">
        <v>0</v>
      </c>
      <c r="BY111" t="s">
        <v>2104</v>
      </c>
      <c r="CA111">
        <v>1800</v>
      </c>
      <c r="CB111">
        <v>80</v>
      </c>
      <c r="CC111">
        <v>147</v>
      </c>
      <c r="CD111" t="s">
        <v>188</v>
      </c>
      <c r="CE111" t="s">
        <v>1672</v>
      </c>
      <c r="CF111" t="s">
        <v>1673</v>
      </c>
      <c r="CG111" t="s">
        <v>1674</v>
      </c>
      <c r="CI111" t="s">
        <v>2106</v>
      </c>
      <c r="CK111">
        <v>10</v>
      </c>
      <c r="CL111" t="s">
        <v>1676</v>
      </c>
      <c r="CM111" t="s">
        <v>1677</v>
      </c>
      <c r="CN111" t="s">
        <v>2107</v>
      </c>
      <c r="CP111" t="s">
        <v>188</v>
      </c>
      <c r="CQ111" t="s">
        <v>188</v>
      </c>
      <c r="CR111">
        <v>51</v>
      </c>
      <c r="CS111">
        <v>0</v>
      </c>
      <c r="CT111" t="s">
        <v>2108</v>
      </c>
      <c r="CX111">
        <v>0</v>
      </c>
      <c r="CY111">
        <v>800</v>
      </c>
      <c r="CZ111">
        <v>0</v>
      </c>
      <c r="DA111">
        <v>0</v>
      </c>
      <c r="DB111" t="s">
        <v>2109</v>
      </c>
      <c r="DC111">
        <v>0</v>
      </c>
      <c r="DD111">
        <v>0</v>
      </c>
      <c r="DI111" t="s">
        <v>2110</v>
      </c>
      <c r="DJ111" t="s">
        <v>2111</v>
      </c>
      <c r="DK111">
        <v>100</v>
      </c>
      <c r="DQ111" t="s">
        <v>1012</v>
      </c>
      <c r="DR111">
        <v>60</v>
      </c>
      <c r="DS111" t="s">
        <v>1013</v>
      </c>
      <c r="DT111">
        <v>110</v>
      </c>
      <c r="DU111" t="s">
        <v>755</v>
      </c>
      <c r="DV111">
        <v>120</v>
      </c>
      <c r="EW111" t="s">
        <v>188</v>
      </c>
      <c r="EX111" t="s">
        <v>188</v>
      </c>
      <c r="EY111" t="s">
        <v>188</v>
      </c>
      <c r="EZ111" t="s">
        <v>188</v>
      </c>
      <c r="FA111">
        <v>4</v>
      </c>
      <c r="FB111" t="s">
        <v>188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 t="s">
        <v>188</v>
      </c>
      <c r="GF111" t="s">
        <v>188</v>
      </c>
      <c r="GG111" t="s">
        <v>188</v>
      </c>
      <c r="GH111" s="1">
        <v>44648</v>
      </c>
      <c r="GI111" t="s">
        <v>608</v>
      </c>
      <c r="GJ111" t="s">
        <v>609</v>
      </c>
      <c r="GK111" t="s">
        <v>610</v>
      </c>
      <c r="GN111">
        <v>152.4</v>
      </c>
      <c r="GO111">
        <v>101.6</v>
      </c>
      <c r="GP111">
        <v>0</v>
      </c>
      <c r="GQ111" t="s">
        <v>611</v>
      </c>
      <c r="GR111" s="1">
        <v>44648</v>
      </c>
      <c r="GV111" t="s">
        <v>188</v>
      </c>
      <c r="GW111" t="s">
        <v>188</v>
      </c>
      <c r="GX111" t="s">
        <v>188</v>
      </c>
      <c r="GY111" t="s">
        <v>188</v>
      </c>
      <c r="GZ111" t="s">
        <v>188</v>
      </c>
      <c r="HA111" t="s">
        <v>188</v>
      </c>
      <c r="HB111" t="s">
        <v>188</v>
      </c>
      <c r="HC111" t="s">
        <v>188</v>
      </c>
      <c r="HD111" t="s">
        <v>188</v>
      </c>
      <c r="HE111" t="s">
        <v>188</v>
      </c>
      <c r="HH111">
        <v>0</v>
      </c>
      <c r="HI111">
        <v>0</v>
      </c>
      <c r="HJ111">
        <v>79.959999999999994</v>
      </c>
      <c r="HK111">
        <v>55.58</v>
      </c>
      <c r="HL111">
        <v>121.33</v>
      </c>
      <c r="HN111" t="s">
        <v>188</v>
      </c>
      <c r="IS111">
        <v>0</v>
      </c>
      <c r="IT111">
        <v>0</v>
      </c>
      <c r="IU111">
        <v>0</v>
      </c>
      <c r="IV111">
        <v>0</v>
      </c>
      <c r="IW111">
        <v>0</v>
      </c>
      <c r="IX111" t="s">
        <v>1683</v>
      </c>
      <c r="IY111">
        <v>0</v>
      </c>
      <c r="IZ111">
        <v>0</v>
      </c>
      <c r="JA111">
        <v>0</v>
      </c>
      <c r="JB111">
        <v>0</v>
      </c>
      <c r="JC111" t="s">
        <v>613</v>
      </c>
      <c r="JD111" t="s">
        <v>614</v>
      </c>
      <c r="JF111">
        <v>0</v>
      </c>
      <c r="JH111" t="s">
        <v>188</v>
      </c>
      <c r="JI111">
        <v>0</v>
      </c>
      <c r="JJ111" t="s">
        <v>188</v>
      </c>
      <c r="JK111">
        <v>119.32</v>
      </c>
      <c r="JL111">
        <v>0</v>
      </c>
      <c r="JM111">
        <v>1</v>
      </c>
    </row>
    <row r="112" spans="1:273" x14ac:dyDescent="0.3">
      <c r="A112" t="s">
        <v>2112</v>
      </c>
      <c r="B112" t="s">
        <v>302</v>
      </c>
      <c r="C112" t="s">
        <v>340</v>
      </c>
      <c r="D112" t="s">
        <v>657</v>
      </c>
      <c r="E112" t="s">
        <v>2001</v>
      </c>
      <c r="F112" t="s">
        <v>592</v>
      </c>
      <c r="G112">
        <v>5</v>
      </c>
      <c r="H112" t="s">
        <v>2113</v>
      </c>
      <c r="I112" t="s">
        <v>594</v>
      </c>
      <c r="J112" t="s">
        <v>595</v>
      </c>
      <c r="L112" t="s">
        <v>2001</v>
      </c>
      <c r="M112" t="s">
        <v>2112</v>
      </c>
      <c r="N112">
        <v>3</v>
      </c>
      <c r="O112">
        <v>3</v>
      </c>
      <c r="P112">
        <v>1</v>
      </c>
      <c r="Q112">
        <v>9</v>
      </c>
      <c r="R112">
        <v>2</v>
      </c>
      <c r="S112">
        <v>0</v>
      </c>
      <c r="T112">
        <v>0</v>
      </c>
      <c r="U112">
        <v>0</v>
      </c>
      <c r="V112" t="s">
        <v>188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 t="s">
        <v>188</v>
      </c>
      <c r="AD112">
        <v>0</v>
      </c>
      <c r="AE112">
        <v>0</v>
      </c>
      <c r="AF112">
        <v>0</v>
      </c>
      <c r="AG112">
        <v>0</v>
      </c>
      <c r="AH112" t="s">
        <v>596</v>
      </c>
      <c r="AI112">
        <v>1</v>
      </c>
      <c r="AJ112" t="s">
        <v>199</v>
      </c>
      <c r="AK112">
        <v>1</v>
      </c>
      <c r="AL112">
        <v>90</v>
      </c>
      <c r="AM112">
        <v>400</v>
      </c>
      <c r="AN112">
        <v>0</v>
      </c>
      <c r="AO112">
        <v>0</v>
      </c>
      <c r="AP112">
        <v>0</v>
      </c>
      <c r="AQ112">
        <v>286</v>
      </c>
      <c r="AR112">
        <v>50</v>
      </c>
      <c r="AS112">
        <v>7.8</v>
      </c>
      <c r="AT112">
        <v>79.150000000000006</v>
      </c>
      <c r="AU112">
        <v>0</v>
      </c>
      <c r="AV112">
        <v>0</v>
      </c>
      <c r="AW112">
        <v>376.66</v>
      </c>
      <c r="AX112">
        <v>35.54</v>
      </c>
      <c r="AY112">
        <v>165.81</v>
      </c>
      <c r="AZ112">
        <v>8.64</v>
      </c>
      <c r="BA112">
        <v>50</v>
      </c>
      <c r="BB112">
        <v>0</v>
      </c>
      <c r="BC112">
        <v>42</v>
      </c>
      <c r="BD112">
        <v>122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450</v>
      </c>
      <c r="BN112">
        <v>1000</v>
      </c>
      <c r="BO112">
        <v>0</v>
      </c>
      <c r="BP112">
        <v>0</v>
      </c>
      <c r="BQ112">
        <v>0</v>
      </c>
      <c r="BR112">
        <v>90</v>
      </c>
      <c r="BS112">
        <v>0</v>
      </c>
      <c r="BT112">
        <v>0</v>
      </c>
      <c r="BU112">
        <v>1000</v>
      </c>
      <c r="BV112">
        <v>0</v>
      </c>
      <c r="BW112" t="s">
        <v>188</v>
      </c>
      <c r="BX112">
        <v>0</v>
      </c>
      <c r="BY112" t="s">
        <v>2114</v>
      </c>
      <c r="BZ112" t="s">
        <v>674</v>
      </c>
      <c r="CA112" t="s">
        <v>2115</v>
      </c>
      <c r="CB112" t="s">
        <v>2116</v>
      </c>
      <c r="CC112" t="s">
        <v>2117</v>
      </c>
      <c r="CD112" t="s">
        <v>188</v>
      </c>
      <c r="CE112" t="s">
        <v>2118</v>
      </c>
      <c r="CF112" t="s">
        <v>2119</v>
      </c>
      <c r="CG112" t="s">
        <v>2120</v>
      </c>
      <c r="CI112" t="s">
        <v>2121</v>
      </c>
      <c r="CK112" t="s">
        <v>802</v>
      </c>
      <c r="CL112" t="s">
        <v>2122</v>
      </c>
      <c r="CM112" t="s">
        <v>2123</v>
      </c>
      <c r="CN112" t="s">
        <v>2124</v>
      </c>
      <c r="CO112" t="s">
        <v>674</v>
      </c>
      <c r="CP112" t="s">
        <v>188</v>
      </c>
      <c r="CQ112" t="s">
        <v>188</v>
      </c>
      <c r="CR112">
        <v>70</v>
      </c>
      <c r="CS112">
        <v>0</v>
      </c>
      <c r="CT112" t="s">
        <v>2125</v>
      </c>
      <c r="CU112" t="s">
        <v>773</v>
      </c>
      <c r="CX112">
        <v>1030</v>
      </c>
      <c r="CY112">
        <v>1500</v>
      </c>
      <c r="CZ112">
        <v>1.5</v>
      </c>
      <c r="DA112">
        <v>0</v>
      </c>
      <c r="DB112" t="s">
        <v>2126</v>
      </c>
      <c r="DC112">
        <v>0</v>
      </c>
      <c r="DD112">
        <v>0</v>
      </c>
      <c r="DI112" t="s">
        <v>2127</v>
      </c>
      <c r="DJ112" t="s">
        <v>1842</v>
      </c>
      <c r="DK112">
        <v>250</v>
      </c>
      <c r="DQ112" t="s">
        <v>773</v>
      </c>
      <c r="DR112">
        <v>260</v>
      </c>
      <c r="DS112" t="s">
        <v>1046</v>
      </c>
      <c r="DT112">
        <v>425</v>
      </c>
      <c r="DU112">
        <v>0</v>
      </c>
      <c r="DV112">
        <v>0</v>
      </c>
      <c r="EW112" t="s">
        <v>188</v>
      </c>
      <c r="EX112" t="s">
        <v>188</v>
      </c>
      <c r="EY112" t="s">
        <v>188</v>
      </c>
      <c r="EZ112" t="s">
        <v>188</v>
      </c>
      <c r="FA112">
        <v>4</v>
      </c>
      <c r="FB112" t="s">
        <v>188</v>
      </c>
      <c r="FC112" t="s">
        <v>2128</v>
      </c>
      <c r="FD112" t="s">
        <v>682</v>
      </c>
      <c r="FE112">
        <v>1.1111111111111099E+23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 t="s">
        <v>188</v>
      </c>
      <c r="GF112" t="s">
        <v>188</v>
      </c>
      <c r="GG112" t="s">
        <v>188</v>
      </c>
      <c r="GH112" t="s">
        <v>188</v>
      </c>
      <c r="GI112" t="s">
        <v>608</v>
      </c>
      <c r="GJ112" t="s">
        <v>609</v>
      </c>
      <c r="GK112" t="s">
        <v>610</v>
      </c>
      <c r="GN112">
        <v>304.8</v>
      </c>
      <c r="GO112">
        <v>254</v>
      </c>
      <c r="GP112">
        <v>0</v>
      </c>
      <c r="GR112" s="1">
        <v>44725</v>
      </c>
      <c r="GV112" t="s">
        <v>188</v>
      </c>
      <c r="GW112" t="s">
        <v>188</v>
      </c>
      <c r="GX112" t="s">
        <v>188</v>
      </c>
      <c r="GY112" t="s">
        <v>188</v>
      </c>
      <c r="GZ112" t="s">
        <v>188</v>
      </c>
      <c r="HA112" t="s">
        <v>188</v>
      </c>
      <c r="HB112" t="s">
        <v>188</v>
      </c>
      <c r="HC112" t="s">
        <v>188</v>
      </c>
      <c r="HD112" t="s">
        <v>188</v>
      </c>
      <c r="HE112" t="s">
        <v>188</v>
      </c>
      <c r="HH112">
        <v>0</v>
      </c>
      <c r="HI112">
        <v>0</v>
      </c>
      <c r="HJ112">
        <v>49.28</v>
      </c>
      <c r="HK112">
        <v>29.23</v>
      </c>
      <c r="HL112">
        <v>175.58</v>
      </c>
      <c r="HN112" t="s">
        <v>188</v>
      </c>
      <c r="IS112">
        <v>0</v>
      </c>
      <c r="IT112">
        <v>0</v>
      </c>
      <c r="IU112">
        <v>0</v>
      </c>
      <c r="IV112">
        <v>0</v>
      </c>
      <c r="IW112">
        <v>0</v>
      </c>
      <c r="IX112" t="s">
        <v>2129</v>
      </c>
      <c r="IY112">
        <v>0</v>
      </c>
      <c r="IZ112">
        <v>0</v>
      </c>
      <c r="JA112">
        <v>0</v>
      </c>
      <c r="JB112">
        <v>0</v>
      </c>
      <c r="JC112" t="s">
        <v>613</v>
      </c>
      <c r="JD112" t="s">
        <v>1048</v>
      </c>
      <c r="JE112" t="s">
        <v>2130</v>
      </c>
      <c r="JF112">
        <v>2</v>
      </c>
      <c r="JG112" t="s">
        <v>2131</v>
      </c>
      <c r="JH112" t="s">
        <v>188</v>
      </c>
      <c r="JI112">
        <v>0</v>
      </c>
      <c r="JJ112" t="s">
        <v>188</v>
      </c>
      <c r="JK112">
        <v>169.85</v>
      </c>
      <c r="JL112">
        <v>10.1</v>
      </c>
      <c r="JM112">
        <v>3</v>
      </c>
    </row>
    <row r="113" spans="1:273" x14ac:dyDescent="0.3">
      <c r="A113" t="s">
        <v>2132</v>
      </c>
      <c r="B113" t="s">
        <v>302</v>
      </c>
      <c r="C113" t="s">
        <v>340</v>
      </c>
      <c r="D113" t="s">
        <v>657</v>
      </c>
      <c r="E113" t="s">
        <v>2001</v>
      </c>
      <c r="F113" t="s">
        <v>592</v>
      </c>
      <c r="G113">
        <v>5</v>
      </c>
      <c r="H113" t="s">
        <v>2133</v>
      </c>
      <c r="I113" t="s">
        <v>594</v>
      </c>
      <c r="J113" t="s">
        <v>595</v>
      </c>
      <c r="L113" t="s">
        <v>2001</v>
      </c>
      <c r="M113" t="s">
        <v>2132</v>
      </c>
      <c r="N113">
        <v>6</v>
      </c>
      <c r="O113">
        <v>6</v>
      </c>
      <c r="P113">
        <v>1</v>
      </c>
      <c r="Q113">
        <v>8</v>
      </c>
      <c r="R113">
        <v>2</v>
      </c>
      <c r="S113">
        <v>0</v>
      </c>
      <c r="T113">
        <v>0</v>
      </c>
      <c r="U113">
        <v>0</v>
      </c>
      <c r="V113" t="s">
        <v>188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 t="s">
        <v>188</v>
      </c>
      <c r="AD113">
        <v>1</v>
      </c>
      <c r="AE113">
        <v>0</v>
      </c>
      <c r="AF113">
        <v>0</v>
      </c>
      <c r="AG113">
        <v>0</v>
      </c>
      <c r="AH113" t="s">
        <v>596</v>
      </c>
      <c r="AI113">
        <v>1</v>
      </c>
      <c r="AJ113" t="s">
        <v>199</v>
      </c>
      <c r="AK113">
        <v>1</v>
      </c>
      <c r="AL113">
        <v>1.6</v>
      </c>
      <c r="AM113">
        <v>17</v>
      </c>
      <c r="AN113">
        <v>0</v>
      </c>
      <c r="AO113">
        <v>0</v>
      </c>
      <c r="AP113">
        <v>0</v>
      </c>
      <c r="AQ113">
        <v>16.5</v>
      </c>
      <c r="AR113">
        <v>35</v>
      </c>
      <c r="AS113">
        <v>1.5</v>
      </c>
      <c r="AT113">
        <v>48.01</v>
      </c>
      <c r="AU113">
        <v>0</v>
      </c>
      <c r="AV113">
        <v>0</v>
      </c>
      <c r="AW113">
        <v>10.61</v>
      </c>
      <c r="AX113">
        <v>28.89</v>
      </c>
      <c r="AY113">
        <v>6.26</v>
      </c>
      <c r="AZ113">
        <v>0</v>
      </c>
      <c r="BA113">
        <v>34.6</v>
      </c>
      <c r="BB113">
        <v>0</v>
      </c>
      <c r="BC113">
        <v>31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600</v>
      </c>
      <c r="BN113">
        <v>2400</v>
      </c>
      <c r="BO113">
        <v>0</v>
      </c>
      <c r="BP113">
        <v>0</v>
      </c>
      <c r="BQ113">
        <v>0</v>
      </c>
      <c r="BR113">
        <v>90</v>
      </c>
      <c r="BS113">
        <v>0</v>
      </c>
      <c r="BT113">
        <v>0</v>
      </c>
      <c r="BU113">
        <v>3800</v>
      </c>
      <c r="BV113">
        <v>152</v>
      </c>
      <c r="BW113" t="s">
        <v>188</v>
      </c>
      <c r="BX113">
        <v>0</v>
      </c>
      <c r="BY113" t="s">
        <v>2134</v>
      </c>
      <c r="BZ113" t="s">
        <v>2135</v>
      </c>
      <c r="CA113" t="s">
        <v>2136</v>
      </c>
      <c r="CB113" t="s">
        <v>2137</v>
      </c>
      <c r="CC113" t="s">
        <v>2138</v>
      </c>
      <c r="CD113" t="s">
        <v>188</v>
      </c>
      <c r="CE113" t="s">
        <v>2139</v>
      </c>
      <c r="CF113" t="s">
        <v>2140</v>
      </c>
      <c r="CG113" t="s">
        <v>2141</v>
      </c>
      <c r="CI113" t="s">
        <v>2142</v>
      </c>
      <c r="CK113" t="s">
        <v>1406</v>
      </c>
      <c r="CL113" t="s">
        <v>2143</v>
      </c>
      <c r="CM113" t="s">
        <v>2144</v>
      </c>
      <c r="CN113" t="s">
        <v>2145</v>
      </c>
      <c r="CO113" t="s">
        <v>1029</v>
      </c>
      <c r="CP113" t="s">
        <v>188</v>
      </c>
      <c r="CQ113" t="s">
        <v>188</v>
      </c>
      <c r="CR113">
        <v>14</v>
      </c>
      <c r="CS113">
        <v>0</v>
      </c>
      <c r="CT113" t="s">
        <v>2146</v>
      </c>
      <c r="CU113" t="s">
        <v>1128</v>
      </c>
      <c r="CV113" t="s">
        <v>2147</v>
      </c>
      <c r="CX113">
        <v>1400</v>
      </c>
      <c r="CY113">
        <v>2100</v>
      </c>
      <c r="CZ113">
        <v>1.5</v>
      </c>
      <c r="DA113">
        <v>0</v>
      </c>
      <c r="DB113" t="s">
        <v>2148</v>
      </c>
      <c r="DC113">
        <v>0</v>
      </c>
      <c r="DD113">
        <v>0</v>
      </c>
      <c r="DI113" t="s">
        <v>2149</v>
      </c>
      <c r="DJ113" t="s">
        <v>2150</v>
      </c>
      <c r="DK113">
        <v>32</v>
      </c>
      <c r="DQ113" t="s">
        <v>1128</v>
      </c>
      <c r="DR113">
        <v>15</v>
      </c>
      <c r="DS113" t="s">
        <v>2151</v>
      </c>
      <c r="DT113">
        <v>25</v>
      </c>
      <c r="DU113">
        <v>0</v>
      </c>
      <c r="DV113">
        <v>0</v>
      </c>
      <c r="EW113" t="s">
        <v>188</v>
      </c>
      <c r="EX113" t="s">
        <v>188</v>
      </c>
      <c r="EY113" t="s">
        <v>188</v>
      </c>
      <c r="EZ113" t="s">
        <v>188</v>
      </c>
      <c r="FA113">
        <v>3</v>
      </c>
      <c r="FB113" t="s">
        <v>188</v>
      </c>
      <c r="FC113" t="s">
        <v>2152</v>
      </c>
      <c r="FD113" t="s">
        <v>682</v>
      </c>
      <c r="FE113">
        <v>1.1111111111111101E+31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 t="s">
        <v>188</v>
      </c>
      <c r="GF113" t="s">
        <v>188</v>
      </c>
      <c r="GG113" t="s">
        <v>188</v>
      </c>
      <c r="GH113" t="s">
        <v>188</v>
      </c>
      <c r="GI113" t="s">
        <v>608</v>
      </c>
      <c r="GJ113" t="s">
        <v>609</v>
      </c>
      <c r="GK113" t="s">
        <v>610</v>
      </c>
      <c r="GL113">
        <v>0</v>
      </c>
      <c r="GM113">
        <v>0</v>
      </c>
      <c r="GN113">
        <v>50.8</v>
      </c>
      <c r="GO113">
        <v>38</v>
      </c>
      <c r="GP113">
        <v>0</v>
      </c>
      <c r="GR113" s="1">
        <v>44725</v>
      </c>
      <c r="GV113" t="s">
        <v>188</v>
      </c>
      <c r="GW113" t="s">
        <v>188</v>
      </c>
      <c r="GX113" t="s">
        <v>188</v>
      </c>
      <c r="GY113" t="s">
        <v>188</v>
      </c>
      <c r="GZ113" t="s">
        <v>188</v>
      </c>
      <c r="HA113" t="s">
        <v>188</v>
      </c>
      <c r="HB113" t="s">
        <v>188</v>
      </c>
      <c r="HC113" t="s">
        <v>188</v>
      </c>
      <c r="HD113" t="s">
        <v>188</v>
      </c>
      <c r="HE113" t="s">
        <v>188</v>
      </c>
      <c r="HH113">
        <v>0</v>
      </c>
      <c r="HI113">
        <v>0</v>
      </c>
      <c r="HJ113">
        <v>34.340000000000003</v>
      </c>
      <c r="HK113">
        <v>26.65</v>
      </c>
      <c r="HL113">
        <v>7.11</v>
      </c>
      <c r="HN113" t="s">
        <v>188</v>
      </c>
      <c r="IS113">
        <v>0</v>
      </c>
      <c r="IT113">
        <v>0</v>
      </c>
      <c r="IU113">
        <v>0</v>
      </c>
      <c r="IV113">
        <v>0</v>
      </c>
      <c r="IW113">
        <v>0</v>
      </c>
      <c r="IX113" t="s">
        <v>2153</v>
      </c>
      <c r="IY113">
        <v>0</v>
      </c>
      <c r="IZ113">
        <v>0</v>
      </c>
      <c r="JA113">
        <v>0</v>
      </c>
      <c r="JB113">
        <v>0</v>
      </c>
      <c r="JC113" t="s">
        <v>613</v>
      </c>
      <c r="JD113" t="s">
        <v>2154</v>
      </c>
      <c r="JE113" t="s">
        <v>2155</v>
      </c>
      <c r="JF113">
        <v>0</v>
      </c>
      <c r="JG113" t="s">
        <v>2156</v>
      </c>
      <c r="JH113" t="s">
        <v>188</v>
      </c>
      <c r="JI113">
        <v>0</v>
      </c>
      <c r="JJ113" t="s">
        <v>188</v>
      </c>
      <c r="JK113">
        <v>9.0500000000000007</v>
      </c>
      <c r="JL113">
        <v>0</v>
      </c>
      <c r="JM113">
        <v>6</v>
      </c>
    </row>
    <row r="114" spans="1:273" x14ac:dyDescent="0.3">
      <c r="A114" t="s">
        <v>2157</v>
      </c>
      <c r="B114" t="s">
        <v>302</v>
      </c>
      <c r="C114" t="s">
        <v>340</v>
      </c>
      <c r="D114" t="s">
        <v>590</v>
      </c>
      <c r="E114" t="s">
        <v>2001</v>
      </c>
      <c r="F114" t="s">
        <v>592</v>
      </c>
      <c r="G114">
        <v>2</v>
      </c>
      <c r="H114" t="s">
        <v>2158</v>
      </c>
      <c r="I114" t="s">
        <v>594</v>
      </c>
      <c r="J114" t="s">
        <v>595</v>
      </c>
      <c r="L114" t="s">
        <v>2001</v>
      </c>
      <c r="M114" t="s">
        <v>2157</v>
      </c>
      <c r="N114">
        <v>7</v>
      </c>
      <c r="O114">
        <v>1</v>
      </c>
      <c r="P114">
        <v>1</v>
      </c>
      <c r="Q114">
        <v>10</v>
      </c>
      <c r="R114">
        <v>2</v>
      </c>
      <c r="S114">
        <v>0</v>
      </c>
      <c r="T114">
        <v>0</v>
      </c>
      <c r="U114">
        <v>0</v>
      </c>
      <c r="V114" t="s">
        <v>188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 t="s">
        <v>188</v>
      </c>
      <c r="AD114">
        <v>0</v>
      </c>
      <c r="AE114">
        <v>0</v>
      </c>
      <c r="AF114">
        <v>0</v>
      </c>
      <c r="AG114">
        <v>0</v>
      </c>
      <c r="AH114" t="s">
        <v>596</v>
      </c>
      <c r="AI114">
        <v>1</v>
      </c>
      <c r="AJ114" t="s">
        <v>199</v>
      </c>
      <c r="AK114">
        <v>1</v>
      </c>
      <c r="AL114">
        <v>5.3</v>
      </c>
      <c r="AM114">
        <v>22.08</v>
      </c>
      <c r="AN114">
        <v>0</v>
      </c>
      <c r="AO114">
        <v>0</v>
      </c>
      <c r="AP114">
        <v>0</v>
      </c>
      <c r="AQ114">
        <v>0</v>
      </c>
      <c r="AR114">
        <v>57.1</v>
      </c>
      <c r="AS114">
        <v>35.1</v>
      </c>
      <c r="AT114">
        <v>63.42</v>
      </c>
      <c r="AU114">
        <v>0</v>
      </c>
      <c r="AV114">
        <v>0</v>
      </c>
      <c r="AW114">
        <v>38.29</v>
      </c>
      <c r="AX114">
        <v>73.98</v>
      </c>
      <c r="AY114">
        <v>43.78</v>
      </c>
      <c r="AZ114">
        <v>18.13</v>
      </c>
      <c r="BA114">
        <v>88</v>
      </c>
      <c r="BB114">
        <v>0</v>
      </c>
      <c r="BC114">
        <v>25</v>
      </c>
      <c r="BD114">
        <v>71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1500</v>
      </c>
      <c r="BN114">
        <v>2700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2700</v>
      </c>
      <c r="BV114">
        <v>214</v>
      </c>
      <c r="BW114" t="s">
        <v>188</v>
      </c>
      <c r="BX114">
        <v>0</v>
      </c>
      <c r="BY114" t="s">
        <v>2159</v>
      </c>
      <c r="CA114" t="s">
        <v>2160</v>
      </c>
      <c r="CB114">
        <v>88</v>
      </c>
      <c r="CC114">
        <v>47</v>
      </c>
      <c r="CD114" t="s">
        <v>188</v>
      </c>
      <c r="CE114" t="s">
        <v>2161</v>
      </c>
      <c r="CF114" t="s">
        <v>2162</v>
      </c>
      <c r="CG114" t="s">
        <v>2163</v>
      </c>
      <c r="CI114" t="s">
        <v>2164</v>
      </c>
      <c r="CK114">
        <v>5</v>
      </c>
      <c r="CL114" t="s">
        <v>2165</v>
      </c>
      <c r="CM114" t="s">
        <v>2166</v>
      </c>
      <c r="CN114" t="s">
        <v>2167</v>
      </c>
      <c r="CO114" t="s">
        <v>2168</v>
      </c>
      <c r="CP114" t="s">
        <v>188</v>
      </c>
      <c r="CQ114" t="s">
        <v>188</v>
      </c>
      <c r="CR114">
        <v>48</v>
      </c>
      <c r="CS114">
        <v>0</v>
      </c>
      <c r="CT114" t="s">
        <v>2169</v>
      </c>
      <c r="CX114">
        <v>0</v>
      </c>
      <c r="CY114">
        <v>800</v>
      </c>
      <c r="CZ114">
        <v>0</v>
      </c>
      <c r="DA114">
        <v>0</v>
      </c>
      <c r="DB114" t="s">
        <v>2170</v>
      </c>
      <c r="DC114">
        <v>0</v>
      </c>
      <c r="DD114">
        <v>0</v>
      </c>
      <c r="DI114" t="s">
        <v>2171</v>
      </c>
      <c r="DJ114" t="s">
        <v>2172</v>
      </c>
      <c r="DK114">
        <v>50</v>
      </c>
      <c r="DQ114" t="s">
        <v>719</v>
      </c>
      <c r="DR114">
        <v>30</v>
      </c>
      <c r="DS114" t="s">
        <v>720</v>
      </c>
      <c r="DT114">
        <v>55</v>
      </c>
      <c r="DU114">
        <v>0</v>
      </c>
      <c r="DV114">
        <v>0</v>
      </c>
      <c r="EW114" t="s">
        <v>188</v>
      </c>
      <c r="EX114" t="s">
        <v>188</v>
      </c>
      <c r="EY114" t="s">
        <v>188</v>
      </c>
      <c r="EZ114" t="s">
        <v>188</v>
      </c>
      <c r="FA114">
        <v>4</v>
      </c>
      <c r="FB114" t="s">
        <v>188</v>
      </c>
      <c r="FE114">
        <v>1.11111111111111E+27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 t="s">
        <v>188</v>
      </c>
      <c r="GF114" t="s">
        <v>188</v>
      </c>
      <c r="GG114" t="s">
        <v>188</v>
      </c>
      <c r="GH114" s="1">
        <v>44648</v>
      </c>
      <c r="GI114" t="s">
        <v>608</v>
      </c>
      <c r="GJ114" t="s">
        <v>609</v>
      </c>
      <c r="GK114" t="s">
        <v>610</v>
      </c>
      <c r="GN114">
        <v>76.2</v>
      </c>
      <c r="GO114">
        <v>50.8</v>
      </c>
      <c r="GP114">
        <v>0</v>
      </c>
      <c r="GQ114" t="s">
        <v>611</v>
      </c>
      <c r="GR114" s="1">
        <v>44734</v>
      </c>
      <c r="GV114" t="s">
        <v>188</v>
      </c>
      <c r="GW114" t="s">
        <v>188</v>
      </c>
      <c r="GX114" t="s">
        <v>188</v>
      </c>
      <c r="GY114" t="s">
        <v>188</v>
      </c>
      <c r="GZ114" t="s">
        <v>188</v>
      </c>
      <c r="HA114" t="s">
        <v>188</v>
      </c>
      <c r="HB114" t="s">
        <v>188</v>
      </c>
      <c r="HC114" t="s">
        <v>188</v>
      </c>
      <c r="HD114" t="s">
        <v>188</v>
      </c>
      <c r="HE114" t="s">
        <v>188</v>
      </c>
      <c r="HH114">
        <v>0</v>
      </c>
      <c r="HI114">
        <v>0</v>
      </c>
      <c r="HJ114">
        <v>88.47</v>
      </c>
      <c r="HK114">
        <v>67.09</v>
      </c>
      <c r="HL114">
        <v>49.66</v>
      </c>
      <c r="HN114" t="s">
        <v>188</v>
      </c>
      <c r="IS114">
        <v>0</v>
      </c>
      <c r="IT114">
        <v>0</v>
      </c>
      <c r="IU114">
        <v>0</v>
      </c>
      <c r="IV114">
        <v>0</v>
      </c>
      <c r="IW114">
        <v>0</v>
      </c>
      <c r="IX114" t="s">
        <v>2173</v>
      </c>
      <c r="IY114">
        <v>0</v>
      </c>
      <c r="IZ114">
        <v>0</v>
      </c>
      <c r="JA114">
        <v>0</v>
      </c>
      <c r="JB114">
        <v>0</v>
      </c>
      <c r="JC114" t="s">
        <v>613</v>
      </c>
      <c r="JD114" t="s">
        <v>2174</v>
      </c>
      <c r="JE114" t="s">
        <v>2175</v>
      </c>
      <c r="JF114">
        <v>0</v>
      </c>
      <c r="JG114" t="s">
        <v>2176</v>
      </c>
      <c r="JH114" t="s">
        <v>188</v>
      </c>
      <c r="JI114">
        <v>0</v>
      </c>
      <c r="JJ114" t="s">
        <v>188</v>
      </c>
      <c r="JK114">
        <v>50.69</v>
      </c>
      <c r="JL114">
        <v>0</v>
      </c>
      <c r="JM114">
        <v>1</v>
      </c>
    </row>
    <row r="115" spans="1:273" x14ac:dyDescent="0.3">
      <c r="A115" t="s">
        <v>2157</v>
      </c>
      <c r="B115" t="s">
        <v>302</v>
      </c>
      <c r="C115" t="s">
        <v>340</v>
      </c>
      <c r="D115" t="s">
        <v>657</v>
      </c>
      <c r="E115" t="s">
        <v>2001</v>
      </c>
      <c r="F115" t="s">
        <v>592</v>
      </c>
      <c r="G115">
        <v>5</v>
      </c>
      <c r="H115" t="s">
        <v>2177</v>
      </c>
      <c r="I115" t="s">
        <v>594</v>
      </c>
      <c r="J115" t="s">
        <v>595</v>
      </c>
      <c r="L115" t="s">
        <v>2001</v>
      </c>
      <c r="M115" t="s">
        <v>2157</v>
      </c>
      <c r="N115">
        <v>1</v>
      </c>
      <c r="O115">
        <v>1</v>
      </c>
      <c r="P115">
        <v>1</v>
      </c>
      <c r="Q115">
        <v>10</v>
      </c>
      <c r="R115">
        <v>2</v>
      </c>
      <c r="S115">
        <v>0</v>
      </c>
      <c r="T115">
        <v>0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 t="s">
        <v>188</v>
      </c>
      <c r="AD115">
        <v>0</v>
      </c>
      <c r="AE115">
        <v>0</v>
      </c>
      <c r="AF115">
        <v>0</v>
      </c>
      <c r="AG115">
        <v>0</v>
      </c>
      <c r="AH115" t="s">
        <v>596</v>
      </c>
      <c r="AI115">
        <v>1</v>
      </c>
      <c r="AJ115" t="s">
        <v>199</v>
      </c>
      <c r="AK115">
        <v>1</v>
      </c>
      <c r="AL115">
        <v>5.3</v>
      </c>
      <c r="AM115">
        <v>22.08</v>
      </c>
      <c r="AN115">
        <v>0</v>
      </c>
      <c r="AO115">
        <v>0</v>
      </c>
      <c r="AP115">
        <v>0</v>
      </c>
      <c r="AQ115">
        <v>0</v>
      </c>
      <c r="AR115">
        <v>57.1</v>
      </c>
      <c r="AS115">
        <v>35.1</v>
      </c>
      <c r="AT115">
        <v>63.42</v>
      </c>
      <c r="AU115">
        <v>0</v>
      </c>
      <c r="AV115">
        <v>0</v>
      </c>
      <c r="AW115">
        <v>38.29</v>
      </c>
      <c r="AX115">
        <v>73.98</v>
      </c>
      <c r="AY115">
        <v>43.78</v>
      </c>
      <c r="AZ115">
        <v>18.13</v>
      </c>
      <c r="BA115">
        <v>88</v>
      </c>
      <c r="BB115">
        <v>0</v>
      </c>
      <c r="BC115">
        <v>25</v>
      </c>
      <c r="BD115">
        <v>71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1200</v>
      </c>
      <c r="BN115">
        <v>3200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3200</v>
      </c>
      <c r="BV115">
        <v>214</v>
      </c>
      <c r="BW115" t="s">
        <v>188</v>
      </c>
      <c r="BX115">
        <v>0</v>
      </c>
      <c r="BY115" t="s">
        <v>2157</v>
      </c>
      <c r="CA115">
        <v>3200</v>
      </c>
      <c r="CB115">
        <v>88</v>
      </c>
      <c r="CC115">
        <v>47</v>
      </c>
      <c r="CD115" t="s">
        <v>188</v>
      </c>
      <c r="CE115" t="s">
        <v>2178</v>
      </c>
      <c r="CF115" t="s">
        <v>761</v>
      </c>
      <c r="CG115" t="s">
        <v>2179</v>
      </c>
      <c r="CI115" t="s">
        <v>2180</v>
      </c>
      <c r="CK115">
        <v>5</v>
      </c>
      <c r="CL115" t="s">
        <v>2165</v>
      </c>
      <c r="CM115" t="s">
        <v>2166</v>
      </c>
      <c r="CN115" t="s">
        <v>2167</v>
      </c>
      <c r="CP115" t="s">
        <v>188</v>
      </c>
      <c r="CQ115" t="s">
        <v>188</v>
      </c>
      <c r="CR115">
        <v>25</v>
      </c>
      <c r="CS115">
        <v>0</v>
      </c>
      <c r="CT115" t="s">
        <v>2181</v>
      </c>
      <c r="CX115">
        <v>0</v>
      </c>
      <c r="CY115">
        <v>800</v>
      </c>
      <c r="CZ115">
        <v>0</v>
      </c>
      <c r="DA115">
        <v>0</v>
      </c>
      <c r="DB115" t="s">
        <v>2170</v>
      </c>
      <c r="DC115">
        <v>0</v>
      </c>
      <c r="DD115">
        <v>0</v>
      </c>
      <c r="DI115" t="s">
        <v>2171</v>
      </c>
      <c r="DJ115" t="s">
        <v>1526</v>
      </c>
      <c r="DK115">
        <v>50</v>
      </c>
      <c r="DQ115" t="s">
        <v>719</v>
      </c>
      <c r="DR115">
        <v>30</v>
      </c>
      <c r="DS115" t="s">
        <v>720</v>
      </c>
      <c r="DT115">
        <v>55</v>
      </c>
      <c r="DU115">
        <v>0</v>
      </c>
      <c r="DV115">
        <v>0</v>
      </c>
      <c r="EW115" t="s">
        <v>188</v>
      </c>
      <c r="EX115" t="s">
        <v>188</v>
      </c>
      <c r="EY115" t="s">
        <v>188</v>
      </c>
      <c r="EZ115" t="s">
        <v>188</v>
      </c>
      <c r="FA115">
        <v>4</v>
      </c>
      <c r="FB115" t="s">
        <v>188</v>
      </c>
      <c r="FE115">
        <v>1.11111111111111E+27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 t="s">
        <v>188</v>
      </c>
      <c r="GF115" t="s">
        <v>188</v>
      </c>
      <c r="GG115" t="s">
        <v>188</v>
      </c>
      <c r="GH115" s="1">
        <v>44648</v>
      </c>
      <c r="GI115" t="s">
        <v>608</v>
      </c>
      <c r="GJ115" t="s">
        <v>609</v>
      </c>
      <c r="GK115" t="s">
        <v>610</v>
      </c>
      <c r="GN115">
        <v>76.2</v>
      </c>
      <c r="GO115">
        <v>50.8</v>
      </c>
      <c r="GP115">
        <v>0</v>
      </c>
      <c r="GQ115" t="s">
        <v>611</v>
      </c>
      <c r="GR115" s="1">
        <v>44648</v>
      </c>
      <c r="GV115" t="s">
        <v>188</v>
      </c>
      <c r="GW115" t="s">
        <v>188</v>
      </c>
      <c r="GX115" t="s">
        <v>188</v>
      </c>
      <c r="GY115" t="s">
        <v>188</v>
      </c>
      <c r="GZ115" t="s">
        <v>188</v>
      </c>
      <c r="HA115" t="s">
        <v>188</v>
      </c>
      <c r="HB115" t="s">
        <v>188</v>
      </c>
      <c r="HC115" t="s">
        <v>188</v>
      </c>
      <c r="HD115" t="s">
        <v>188</v>
      </c>
      <c r="HE115" t="s">
        <v>188</v>
      </c>
      <c r="HH115">
        <v>0</v>
      </c>
      <c r="HI115">
        <v>0</v>
      </c>
      <c r="HJ115">
        <v>88.47</v>
      </c>
      <c r="HK115">
        <v>67.09</v>
      </c>
      <c r="HL115">
        <v>49.66</v>
      </c>
      <c r="HN115" t="s">
        <v>188</v>
      </c>
      <c r="IS115">
        <v>0</v>
      </c>
      <c r="IT115">
        <v>0</v>
      </c>
      <c r="IU115">
        <v>0</v>
      </c>
      <c r="IV115">
        <v>0</v>
      </c>
      <c r="IW115">
        <v>0</v>
      </c>
      <c r="IX115" t="s">
        <v>774</v>
      </c>
      <c r="IY115">
        <v>0</v>
      </c>
      <c r="IZ115">
        <v>0</v>
      </c>
      <c r="JA115">
        <v>0</v>
      </c>
      <c r="JB115">
        <v>0</v>
      </c>
      <c r="JC115" t="s">
        <v>613</v>
      </c>
      <c r="JD115" t="s">
        <v>1527</v>
      </c>
      <c r="JF115">
        <v>0</v>
      </c>
      <c r="JH115" t="s">
        <v>188</v>
      </c>
      <c r="JI115">
        <v>0</v>
      </c>
      <c r="JJ115" t="s">
        <v>188</v>
      </c>
      <c r="JK115">
        <v>50.69</v>
      </c>
      <c r="JL115">
        <v>0</v>
      </c>
      <c r="JM115">
        <v>1</v>
      </c>
    </row>
    <row r="116" spans="1:273" x14ac:dyDescent="0.3">
      <c r="A116" t="s">
        <v>2182</v>
      </c>
      <c r="B116" t="s">
        <v>302</v>
      </c>
      <c r="C116" t="s">
        <v>340</v>
      </c>
      <c r="D116" t="s">
        <v>657</v>
      </c>
      <c r="E116" t="s">
        <v>2001</v>
      </c>
      <c r="F116" t="s">
        <v>592</v>
      </c>
      <c r="G116">
        <v>5</v>
      </c>
      <c r="H116" t="s">
        <v>2183</v>
      </c>
      <c r="I116" t="s">
        <v>594</v>
      </c>
      <c r="J116" t="s">
        <v>595</v>
      </c>
      <c r="L116" t="s">
        <v>2001</v>
      </c>
      <c r="M116" t="s">
        <v>2182</v>
      </c>
      <c r="N116">
        <v>1</v>
      </c>
      <c r="O116">
        <v>1</v>
      </c>
      <c r="P116">
        <v>1</v>
      </c>
      <c r="Q116">
        <v>8</v>
      </c>
      <c r="R116">
        <v>2</v>
      </c>
      <c r="S116">
        <v>0</v>
      </c>
      <c r="T116">
        <v>0</v>
      </c>
      <c r="U116">
        <v>0</v>
      </c>
      <c r="V116" t="s">
        <v>188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 t="s">
        <v>188</v>
      </c>
      <c r="AD116">
        <v>0</v>
      </c>
      <c r="AE116">
        <v>0</v>
      </c>
      <c r="AF116">
        <v>0</v>
      </c>
      <c r="AG116">
        <v>0</v>
      </c>
      <c r="AH116" t="s">
        <v>596</v>
      </c>
      <c r="AI116">
        <v>1</v>
      </c>
      <c r="AJ116" t="s">
        <v>199</v>
      </c>
      <c r="AK116">
        <v>1</v>
      </c>
      <c r="AL116">
        <v>10.5</v>
      </c>
      <c r="AM116">
        <v>84.3</v>
      </c>
      <c r="AN116">
        <v>0</v>
      </c>
      <c r="AO116">
        <v>0</v>
      </c>
      <c r="AP116">
        <v>0</v>
      </c>
      <c r="AQ116">
        <v>0</v>
      </c>
      <c r="AR116">
        <v>82</v>
      </c>
      <c r="AS116">
        <v>55</v>
      </c>
      <c r="AT116">
        <v>67.94</v>
      </c>
      <c r="AU116">
        <v>0</v>
      </c>
      <c r="AV116">
        <v>0</v>
      </c>
      <c r="AW116">
        <v>69.290000000000006</v>
      </c>
      <c r="AX116">
        <v>63.88</v>
      </c>
      <c r="AY116">
        <v>63.87</v>
      </c>
      <c r="AZ116">
        <v>11.69</v>
      </c>
      <c r="BA116">
        <v>82</v>
      </c>
      <c r="BB116">
        <v>0</v>
      </c>
      <c r="BC116">
        <v>33</v>
      </c>
      <c r="BD116">
        <v>117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1000</v>
      </c>
      <c r="BN116">
        <v>2800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2800</v>
      </c>
      <c r="BV116">
        <v>245</v>
      </c>
      <c r="BW116" t="s">
        <v>188</v>
      </c>
      <c r="BX116">
        <v>0</v>
      </c>
      <c r="BY116" t="s">
        <v>2182</v>
      </c>
      <c r="CA116">
        <v>2800</v>
      </c>
      <c r="CB116">
        <v>82</v>
      </c>
      <c r="CC116">
        <v>84.3</v>
      </c>
      <c r="CD116" t="s">
        <v>188</v>
      </c>
      <c r="CE116" t="s">
        <v>1610</v>
      </c>
      <c r="CF116" t="s">
        <v>1611</v>
      </c>
      <c r="CG116" t="s">
        <v>1612</v>
      </c>
      <c r="CI116" t="s">
        <v>2184</v>
      </c>
      <c r="CK116">
        <v>5</v>
      </c>
      <c r="CL116" t="s">
        <v>1614</v>
      </c>
      <c r="CM116" t="s">
        <v>1615</v>
      </c>
      <c r="CN116" t="s">
        <v>2185</v>
      </c>
      <c r="CP116" t="s">
        <v>188</v>
      </c>
      <c r="CQ116" t="s">
        <v>188</v>
      </c>
      <c r="CR116">
        <v>36</v>
      </c>
      <c r="CS116">
        <v>0</v>
      </c>
      <c r="CT116" t="s">
        <v>2186</v>
      </c>
      <c r="CX116">
        <v>0</v>
      </c>
      <c r="CY116">
        <v>800</v>
      </c>
      <c r="CZ116">
        <v>0</v>
      </c>
      <c r="DA116">
        <v>0</v>
      </c>
      <c r="DB116" t="s">
        <v>2187</v>
      </c>
      <c r="DC116">
        <v>0</v>
      </c>
      <c r="DD116">
        <v>0</v>
      </c>
      <c r="DI116" t="s">
        <v>2188</v>
      </c>
      <c r="DJ116" t="s">
        <v>1656</v>
      </c>
      <c r="DK116">
        <v>80</v>
      </c>
      <c r="DQ116" t="s">
        <v>736</v>
      </c>
      <c r="DR116">
        <v>30</v>
      </c>
      <c r="DS116" t="s">
        <v>737</v>
      </c>
      <c r="DT116">
        <v>55</v>
      </c>
      <c r="DU116" t="s">
        <v>738</v>
      </c>
      <c r="DV116">
        <v>60</v>
      </c>
      <c r="EW116" t="s">
        <v>188</v>
      </c>
      <c r="EX116" t="s">
        <v>188</v>
      </c>
      <c r="EY116" t="s">
        <v>188</v>
      </c>
      <c r="EZ116" t="s">
        <v>188</v>
      </c>
      <c r="FA116">
        <v>4</v>
      </c>
      <c r="FB116" t="s">
        <v>188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 t="s">
        <v>188</v>
      </c>
      <c r="GF116" t="s">
        <v>188</v>
      </c>
      <c r="GG116" t="s">
        <v>188</v>
      </c>
      <c r="GH116" s="1">
        <v>44648</v>
      </c>
      <c r="GI116" t="s">
        <v>608</v>
      </c>
      <c r="GJ116" t="s">
        <v>609</v>
      </c>
      <c r="GK116" t="s">
        <v>610</v>
      </c>
      <c r="GN116">
        <v>101.6</v>
      </c>
      <c r="GO116">
        <v>76.2</v>
      </c>
      <c r="GP116">
        <v>0</v>
      </c>
      <c r="GQ116" t="s">
        <v>611</v>
      </c>
      <c r="GR116" s="1">
        <v>44648</v>
      </c>
      <c r="GV116" t="s">
        <v>188</v>
      </c>
      <c r="GW116" t="s">
        <v>188</v>
      </c>
      <c r="GX116" t="s">
        <v>188</v>
      </c>
      <c r="GY116" t="s">
        <v>188</v>
      </c>
      <c r="GZ116" t="s">
        <v>188</v>
      </c>
      <c r="HA116" t="s">
        <v>188</v>
      </c>
      <c r="HB116" t="s">
        <v>188</v>
      </c>
      <c r="HC116" t="s">
        <v>188</v>
      </c>
      <c r="HD116" t="s">
        <v>188</v>
      </c>
      <c r="HE116" t="s">
        <v>188</v>
      </c>
      <c r="HH116">
        <v>0</v>
      </c>
      <c r="HI116">
        <v>0</v>
      </c>
      <c r="HJ116">
        <v>81.569999999999993</v>
      </c>
      <c r="HK116">
        <v>55.75</v>
      </c>
      <c r="HL116">
        <v>69.36</v>
      </c>
      <c r="HN116" t="s">
        <v>188</v>
      </c>
      <c r="IS116">
        <v>0</v>
      </c>
      <c r="IT116">
        <v>0</v>
      </c>
      <c r="IU116">
        <v>0</v>
      </c>
      <c r="IV116">
        <v>0</v>
      </c>
      <c r="IW116">
        <v>0</v>
      </c>
      <c r="IX116" t="s">
        <v>2189</v>
      </c>
      <c r="IY116">
        <v>0</v>
      </c>
      <c r="IZ116">
        <v>0</v>
      </c>
      <c r="JA116">
        <v>0</v>
      </c>
      <c r="JB116">
        <v>0</v>
      </c>
      <c r="JC116" t="s">
        <v>613</v>
      </c>
      <c r="JD116" t="s">
        <v>2190</v>
      </c>
      <c r="JF116">
        <v>0</v>
      </c>
      <c r="JH116" t="s">
        <v>188</v>
      </c>
      <c r="JI116">
        <v>0</v>
      </c>
      <c r="JJ116" t="s">
        <v>188</v>
      </c>
      <c r="JK116">
        <v>69.930000000000007</v>
      </c>
      <c r="JL116">
        <v>0</v>
      </c>
      <c r="JM116">
        <v>1</v>
      </c>
    </row>
    <row r="117" spans="1:273" x14ac:dyDescent="0.3">
      <c r="A117" t="s">
        <v>2191</v>
      </c>
      <c r="B117" t="s">
        <v>302</v>
      </c>
      <c r="C117" t="s">
        <v>340</v>
      </c>
      <c r="D117" t="s">
        <v>657</v>
      </c>
      <c r="E117" t="s">
        <v>2192</v>
      </c>
      <c r="F117" t="s">
        <v>592</v>
      </c>
      <c r="G117">
        <v>5</v>
      </c>
      <c r="H117" t="s">
        <v>2193</v>
      </c>
      <c r="I117" t="s">
        <v>302</v>
      </c>
      <c r="J117" t="s">
        <v>661</v>
      </c>
      <c r="N117">
        <v>1</v>
      </c>
      <c r="O117">
        <v>1</v>
      </c>
      <c r="P117">
        <v>1</v>
      </c>
      <c r="Q117">
        <v>10</v>
      </c>
      <c r="R117">
        <v>2</v>
      </c>
      <c r="S117">
        <v>0</v>
      </c>
      <c r="T117">
        <v>0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  <c r="AH117" t="s">
        <v>869</v>
      </c>
      <c r="AI117">
        <v>0.2777</v>
      </c>
      <c r="AJ117" t="s">
        <v>199</v>
      </c>
      <c r="AK117">
        <v>1</v>
      </c>
      <c r="AL117">
        <v>1927</v>
      </c>
      <c r="AM117">
        <v>9656.5</v>
      </c>
      <c r="AN117">
        <v>0</v>
      </c>
      <c r="AO117">
        <v>0</v>
      </c>
      <c r="AP117">
        <v>0</v>
      </c>
      <c r="AQ117">
        <v>0</v>
      </c>
      <c r="AR117">
        <v>79.900000000000006</v>
      </c>
      <c r="AS117">
        <v>65.7</v>
      </c>
      <c r="AT117">
        <v>83.93</v>
      </c>
      <c r="AU117">
        <v>0</v>
      </c>
      <c r="AV117">
        <v>0</v>
      </c>
      <c r="AW117">
        <v>7506.03</v>
      </c>
      <c r="AX117">
        <v>72.17</v>
      </c>
      <c r="AY117">
        <v>1757.23</v>
      </c>
      <c r="AZ117">
        <v>5.89</v>
      </c>
      <c r="BA117">
        <v>79.900000000000006</v>
      </c>
      <c r="BB117">
        <v>0</v>
      </c>
      <c r="BC117">
        <v>28</v>
      </c>
      <c r="BD117">
        <v>181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150</v>
      </c>
      <c r="BN117">
        <v>475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475</v>
      </c>
      <c r="BV117">
        <v>1370</v>
      </c>
      <c r="BW117" t="s">
        <v>188</v>
      </c>
      <c r="BX117">
        <v>0</v>
      </c>
      <c r="BY117" t="s">
        <v>2194</v>
      </c>
      <c r="CA117">
        <v>475</v>
      </c>
      <c r="CB117">
        <v>79.900000000000006</v>
      </c>
      <c r="CC117">
        <v>9424</v>
      </c>
      <c r="CD117" t="s">
        <v>188</v>
      </c>
      <c r="CE117" t="s">
        <v>2195</v>
      </c>
      <c r="CF117" t="s">
        <v>2196</v>
      </c>
      <c r="CG117" t="s">
        <v>2197</v>
      </c>
      <c r="CI117" t="s">
        <v>2198</v>
      </c>
      <c r="CK117">
        <v>250</v>
      </c>
      <c r="CL117" t="s">
        <v>2199</v>
      </c>
      <c r="CM117" t="s">
        <v>2200</v>
      </c>
      <c r="CN117" t="s">
        <v>2201</v>
      </c>
      <c r="CO117">
        <v>0</v>
      </c>
      <c r="CP117" t="s">
        <v>188</v>
      </c>
      <c r="CQ117" t="s">
        <v>188</v>
      </c>
      <c r="CR117">
        <v>177</v>
      </c>
      <c r="CS117">
        <v>0</v>
      </c>
      <c r="CX117">
        <v>0</v>
      </c>
      <c r="CY117">
        <v>0</v>
      </c>
      <c r="CZ117">
        <v>0</v>
      </c>
      <c r="DA117">
        <v>0</v>
      </c>
      <c r="DC117">
        <v>0</v>
      </c>
      <c r="DD117">
        <v>0</v>
      </c>
      <c r="DJ117" t="s">
        <v>2202</v>
      </c>
      <c r="DQ117" t="s">
        <v>2203</v>
      </c>
      <c r="DR117">
        <v>1400</v>
      </c>
      <c r="EW117" t="s">
        <v>188</v>
      </c>
      <c r="EX117" t="s">
        <v>188</v>
      </c>
      <c r="EY117" t="s">
        <v>188</v>
      </c>
      <c r="EZ117" t="s">
        <v>188</v>
      </c>
      <c r="FA117">
        <v>4</v>
      </c>
      <c r="FB117" t="s">
        <v>188</v>
      </c>
      <c r="FC117" t="s">
        <v>681</v>
      </c>
      <c r="FD117" t="s">
        <v>682</v>
      </c>
      <c r="FE117">
        <v>1.1111111111111099E+23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 t="s">
        <v>188</v>
      </c>
      <c r="GF117" t="s">
        <v>188</v>
      </c>
      <c r="GG117" t="s">
        <v>188</v>
      </c>
      <c r="GH117" s="1">
        <v>45160</v>
      </c>
      <c r="GJ117" t="s">
        <v>610</v>
      </c>
      <c r="GK117" t="s">
        <v>610</v>
      </c>
      <c r="GL117">
        <v>0</v>
      </c>
      <c r="GM117">
        <v>0</v>
      </c>
      <c r="GN117">
        <v>609.6</v>
      </c>
      <c r="GO117">
        <v>406.4</v>
      </c>
      <c r="GP117">
        <v>0</v>
      </c>
      <c r="GR117" s="1">
        <v>45709</v>
      </c>
      <c r="GV117" t="s">
        <v>188</v>
      </c>
      <c r="GW117" t="s">
        <v>188</v>
      </c>
      <c r="GX117" t="s">
        <v>188</v>
      </c>
      <c r="GY117" t="s">
        <v>188</v>
      </c>
      <c r="GZ117" t="s">
        <v>188</v>
      </c>
      <c r="HA117" t="s">
        <v>188</v>
      </c>
      <c r="HB117" t="s">
        <v>188</v>
      </c>
      <c r="HC117" t="s">
        <v>188</v>
      </c>
      <c r="HD117" t="s">
        <v>188</v>
      </c>
      <c r="HE117" t="s">
        <v>188</v>
      </c>
      <c r="HH117">
        <v>0</v>
      </c>
      <c r="HI117">
        <v>0</v>
      </c>
      <c r="HJ117">
        <v>78.98</v>
      </c>
      <c r="HK117">
        <v>68.239999999999995</v>
      </c>
      <c r="HL117">
        <v>2026.73</v>
      </c>
      <c r="HN117" t="s">
        <v>188</v>
      </c>
      <c r="IS117">
        <v>0</v>
      </c>
      <c r="IT117">
        <v>0</v>
      </c>
      <c r="IU117">
        <v>0</v>
      </c>
      <c r="IV117">
        <v>0</v>
      </c>
      <c r="IW117">
        <v>0</v>
      </c>
      <c r="IX117" t="s">
        <v>2204</v>
      </c>
      <c r="IY117">
        <v>0</v>
      </c>
      <c r="IZ117">
        <v>0</v>
      </c>
      <c r="JA117">
        <v>0</v>
      </c>
      <c r="JB117">
        <v>0</v>
      </c>
      <c r="JC117" t="s">
        <v>613</v>
      </c>
      <c r="JD117" t="s">
        <v>2205</v>
      </c>
      <c r="JE117" t="s">
        <v>2206</v>
      </c>
      <c r="JF117">
        <v>0</v>
      </c>
      <c r="JG117" t="s">
        <v>2207</v>
      </c>
      <c r="JH117" t="s">
        <v>188</v>
      </c>
      <c r="JI117">
        <v>0</v>
      </c>
      <c r="JJ117" t="s">
        <v>188</v>
      </c>
      <c r="JK117">
        <v>2109.25</v>
      </c>
      <c r="JL117">
        <v>0</v>
      </c>
      <c r="JM117">
        <v>1</v>
      </c>
    </row>
    <row r="118" spans="1:273" x14ac:dyDescent="0.3">
      <c r="A118" t="s">
        <v>2194</v>
      </c>
      <c r="B118" t="s">
        <v>302</v>
      </c>
      <c r="C118" t="s">
        <v>340</v>
      </c>
      <c r="D118" t="s">
        <v>657</v>
      </c>
      <c r="E118" t="s">
        <v>2192</v>
      </c>
      <c r="F118" t="s">
        <v>592</v>
      </c>
      <c r="G118">
        <v>5</v>
      </c>
      <c r="H118" t="s">
        <v>2193</v>
      </c>
      <c r="I118" t="s">
        <v>302</v>
      </c>
      <c r="J118" t="s">
        <v>661</v>
      </c>
      <c r="N118">
        <v>1</v>
      </c>
      <c r="O118">
        <v>1</v>
      </c>
      <c r="P118">
        <v>1</v>
      </c>
      <c r="Q118">
        <v>10</v>
      </c>
      <c r="R118">
        <v>2</v>
      </c>
      <c r="S118">
        <v>0</v>
      </c>
      <c r="T118">
        <v>0</v>
      </c>
      <c r="U118">
        <v>0</v>
      </c>
      <c r="V118" t="s">
        <v>188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0</v>
      </c>
      <c r="AH118" t="s">
        <v>869</v>
      </c>
      <c r="AI118">
        <v>0.2777</v>
      </c>
      <c r="AJ118" t="s">
        <v>199</v>
      </c>
      <c r="AK118">
        <v>1</v>
      </c>
      <c r="AL118">
        <v>1927</v>
      </c>
      <c r="AM118">
        <v>9656.5</v>
      </c>
      <c r="AN118">
        <v>0</v>
      </c>
      <c r="AO118">
        <v>0</v>
      </c>
      <c r="AP118">
        <v>0</v>
      </c>
      <c r="AQ118">
        <v>0</v>
      </c>
      <c r="AR118">
        <v>79.900000000000006</v>
      </c>
      <c r="AS118">
        <v>65.7</v>
      </c>
      <c r="AT118">
        <v>83.93</v>
      </c>
      <c r="AU118">
        <v>0</v>
      </c>
      <c r="AV118">
        <v>0</v>
      </c>
      <c r="AW118">
        <v>7506.03</v>
      </c>
      <c r="AX118">
        <v>72.17</v>
      </c>
      <c r="AY118">
        <v>1757.23</v>
      </c>
      <c r="AZ118">
        <v>5.89</v>
      </c>
      <c r="BA118">
        <v>79.900000000000006</v>
      </c>
      <c r="BB118">
        <v>0</v>
      </c>
      <c r="BC118">
        <v>28</v>
      </c>
      <c r="BD118">
        <v>181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150</v>
      </c>
      <c r="BN118">
        <v>475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475</v>
      </c>
      <c r="BV118">
        <v>1370</v>
      </c>
      <c r="BW118" t="s">
        <v>188</v>
      </c>
      <c r="BX118">
        <v>0</v>
      </c>
      <c r="BY118" t="s">
        <v>2194</v>
      </c>
      <c r="CA118">
        <v>475</v>
      </c>
      <c r="CB118">
        <v>79.900000000000006</v>
      </c>
      <c r="CC118">
        <v>9424</v>
      </c>
      <c r="CD118" t="s">
        <v>188</v>
      </c>
      <c r="CE118" t="s">
        <v>2195</v>
      </c>
      <c r="CF118" t="s">
        <v>2196</v>
      </c>
      <c r="CG118" t="s">
        <v>2197</v>
      </c>
      <c r="CI118" t="s">
        <v>2198</v>
      </c>
      <c r="CK118">
        <v>250</v>
      </c>
      <c r="CL118" t="s">
        <v>2199</v>
      </c>
      <c r="CM118" t="s">
        <v>2200</v>
      </c>
      <c r="CN118" t="s">
        <v>2201</v>
      </c>
      <c r="CO118">
        <v>0</v>
      </c>
      <c r="CP118" t="s">
        <v>188</v>
      </c>
      <c r="CQ118" t="s">
        <v>188</v>
      </c>
      <c r="CR118">
        <v>177</v>
      </c>
      <c r="CS118">
        <v>0</v>
      </c>
      <c r="CX118">
        <v>0</v>
      </c>
      <c r="CY118">
        <v>0</v>
      </c>
      <c r="CZ118">
        <v>0</v>
      </c>
      <c r="DA118">
        <v>0</v>
      </c>
      <c r="DC118">
        <v>0</v>
      </c>
      <c r="DD118">
        <v>0</v>
      </c>
      <c r="DJ118" t="s">
        <v>2202</v>
      </c>
      <c r="DQ118" t="s">
        <v>2203</v>
      </c>
      <c r="DR118">
        <v>1400</v>
      </c>
      <c r="EW118" t="s">
        <v>188</v>
      </c>
      <c r="EX118" t="s">
        <v>188</v>
      </c>
      <c r="EY118" t="s">
        <v>188</v>
      </c>
      <c r="EZ118" t="s">
        <v>188</v>
      </c>
      <c r="FA118">
        <v>4</v>
      </c>
      <c r="FB118" t="s">
        <v>188</v>
      </c>
      <c r="FC118" t="s">
        <v>681</v>
      </c>
      <c r="FD118" t="s">
        <v>682</v>
      </c>
      <c r="FE118">
        <v>1.1111111111111099E+23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 t="s">
        <v>188</v>
      </c>
      <c r="GF118" t="s">
        <v>188</v>
      </c>
      <c r="GG118" t="s">
        <v>188</v>
      </c>
      <c r="GH118" s="1">
        <v>45160</v>
      </c>
      <c r="GJ118" t="s">
        <v>610</v>
      </c>
      <c r="GK118" t="s">
        <v>610</v>
      </c>
      <c r="GL118">
        <v>0</v>
      </c>
      <c r="GM118">
        <v>0</v>
      </c>
      <c r="GN118">
        <v>609.6</v>
      </c>
      <c r="GO118">
        <v>406.4</v>
      </c>
      <c r="GP118">
        <v>0</v>
      </c>
      <c r="GR118" s="1">
        <v>45709</v>
      </c>
      <c r="GV118" t="s">
        <v>188</v>
      </c>
      <c r="GW118" t="s">
        <v>188</v>
      </c>
      <c r="GX118" t="s">
        <v>188</v>
      </c>
      <c r="GY118" t="s">
        <v>188</v>
      </c>
      <c r="GZ118" t="s">
        <v>188</v>
      </c>
      <c r="HA118" t="s">
        <v>188</v>
      </c>
      <c r="HB118" t="s">
        <v>188</v>
      </c>
      <c r="HC118" t="s">
        <v>188</v>
      </c>
      <c r="HD118" t="s">
        <v>188</v>
      </c>
      <c r="HE118" t="s">
        <v>188</v>
      </c>
      <c r="HH118">
        <v>0</v>
      </c>
      <c r="HI118">
        <v>0</v>
      </c>
      <c r="HJ118">
        <v>78.98</v>
      </c>
      <c r="HK118">
        <v>68.239999999999995</v>
      </c>
      <c r="HL118">
        <v>2026.73</v>
      </c>
      <c r="HN118" t="s">
        <v>188</v>
      </c>
      <c r="IS118">
        <v>0</v>
      </c>
      <c r="IT118">
        <v>0</v>
      </c>
      <c r="IU118">
        <v>0</v>
      </c>
      <c r="IV118">
        <v>0</v>
      </c>
      <c r="IW118">
        <v>0</v>
      </c>
      <c r="IX118" t="s">
        <v>2204</v>
      </c>
      <c r="IY118">
        <v>0</v>
      </c>
      <c r="IZ118">
        <v>0</v>
      </c>
      <c r="JA118">
        <v>0</v>
      </c>
      <c r="JB118">
        <v>0</v>
      </c>
      <c r="JC118" t="s">
        <v>613</v>
      </c>
      <c r="JD118" t="s">
        <v>2205</v>
      </c>
      <c r="JE118" t="s">
        <v>2206</v>
      </c>
      <c r="JF118">
        <v>0</v>
      </c>
      <c r="JG118" t="s">
        <v>2207</v>
      </c>
      <c r="JH118" t="s">
        <v>188</v>
      </c>
      <c r="JI118">
        <v>0</v>
      </c>
      <c r="JJ118" t="s">
        <v>188</v>
      </c>
      <c r="JK118">
        <v>2109.25</v>
      </c>
      <c r="JL118">
        <v>0</v>
      </c>
      <c r="JM118">
        <v>1</v>
      </c>
    </row>
    <row r="119" spans="1:273" x14ac:dyDescent="0.3">
      <c r="A119" t="s">
        <v>2208</v>
      </c>
      <c r="B119" t="s">
        <v>302</v>
      </c>
      <c r="C119" t="s">
        <v>340</v>
      </c>
      <c r="D119" t="s">
        <v>657</v>
      </c>
      <c r="E119" t="s">
        <v>2209</v>
      </c>
      <c r="F119" t="s">
        <v>659</v>
      </c>
      <c r="G119">
        <v>5</v>
      </c>
      <c r="H119" t="s">
        <v>837</v>
      </c>
      <c r="I119" t="s">
        <v>302</v>
      </c>
      <c r="J119" t="s">
        <v>661</v>
      </c>
      <c r="N119">
        <v>1</v>
      </c>
      <c r="O119">
        <v>1</v>
      </c>
      <c r="P119">
        <v>1</v>
      </c>
      <c r="Q119">
        <v>11</v>
      </c>
      <c r="R119">
        <v>2</v>
      </c>
      <c r="S119">
        <v>0</v>
      </c>
      <c r="T119">
        <v>0</v>
      </c>
      <c r="U119">
        <v>0</v>
      </c>
      <c r="V119" t="s">
        <v>188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 t="s">
        <v>869</v>
      </c>
      <c r="AI119">
        <v>0.2777</v>
      </c>
      <c r="AJ119" t="s">
        <v>199</v>
      </c>
      <c r="AK119">
        <v>1</v>
      </c>
      <c r="AL119">
        <v>1675</v>
      </c>
      <c r="AM119">
        <v>8411</v>
      </c>
      <c r="AN119">
        <v>0</v>
      </c>
      <c r="AO119">
        <v>0</v>
      </c>
      <c r="AP119">
        <v>0</v>
      </c>
      <c r="AQ119">
        <v>0</v>
      </c>
      <c r="AR119">
        <v>77.599999999999994</v>
      </c>
      <c r="AS119">
        <v>56.9</v>
      </c>
      <c r="AT119">
        <v>81.83</v>
      </c>
      <c r="AU119">
        <v>0</v>
      </c>
      <c r="AV119">
        <v>0</v>
      </c>
      <c r="AW119">
        <v>5578.86</v>
      </c>
      <c r="AX119">
        <v>68.989999999999995</v>
      </c>
      <c r="AY119">
        <v>1280.57</v>
      </c>
      <c r="AZ119">
        <v>0</v>
      </c>
      <c r="BA119">
        <v>77.599999999999994</v>
      </c>
      <c r="BB119">
        <v>0</v>
      </c>
      <c r="BC119">
        <v>26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150</v>
      </c>
      <c r="BN119">
        <v>500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500</v>
      </c>
      <c r="BV119">
        <v>1308</v>
      </c>
      <c r="BW119" t="s">
        <v>188</v>
      </c>
      <c r="BX119">
        <v>0</v>
      </c>
      <c r="BY119" t="s">
        <v>2210</v>
      </c>
      <c r="CA119">
        <v>500</v>
      </c>
      <c r="CB119">
        <v>77.599999999999994</v>
      </c>
      <c r="CC119">
        <v>8005</v>
      </c>
      <c r="CD119" t="s">
        <v>188</v>
      </c>
      <c r="CE119" t="s">
        <v>2211</v>
      </c>
      <c r="CF119" t="s">
        <v>2212</v>
      </c>
      <c r="CG119" t="s">
        <v>2213</v>
      </c>
      <c r="CI119" t="s">
        <v>2076</v>
      </c>
      <c r="CK119">
        <v>250</v>
      </c>
      <c r="CL119" t="s">
        <v>2214</v>
      </c>
      <c r="CM119" t="s">
        <v>2215</v>
      </c>
      <c r="CN119" t="s">
        <v>602</v>
      </c>
      <c r="CO119">
        <v>0</v>
      </c>
      <c r="CP119" t="s">
        <v>188</v>
      </c>
      <c r="CQ119" t="s">
        <v>188</v>
      </c>
      <c r="CR119">
        <v>204</v>
      </c>
      <c r="CS119">
        <v>0</v>
      </c>
      <c r="CX119">
        <v>0</v>
      </c>
      <c r="CY119">
        <v>0</v>
      </c>
      <c r="CZ119">
        <v>0</v>
      </c>
      <c r="DA119">
        <v>0</v>
      </c>
      <c r="DC119">
        <v>0</v>
      </c>
      <c r="DD119">
        <v>0</v>
      </c>
      <c r="DJ119" t="s">
        <v>2216</v>
      </c>
      <c r="DQ119" t="s">
        <v>2217</v>
      </c>
      <c r="DR119">
        <v>1400</v>
      </c>
      <c r="EW119" t="s">
        <v>188</v>
      </c>
      <c r="EX119" t="s">
        <v>188</v>
      </c>
      <c r="EY119" t="s">
        <v>188</v>
      </c>
      <c r="EZ119" t="s">
        <v>188</v>
      </c>
      <c r="FA119">
        <v>4</v>
      </c>
      <c r="FB119" t="s">
        <v>188</v>
      </c>
      <c r="FC119" t="s">
        <v>681</v>
      </c>
      <c r="FD119" t="s">
        <v>682</v>
      </c>
      <c r="FE119">
        <v>1.1111111111111101E+31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 t="s">
        <v>188</v>
      </c>
      <c r="GF119" t="s">
        <v>188</v>
      </c>
      <c r="GG119" t="s">
        <v>188</v>
      </c>
      <c r="GH119" s="1">
        <v>45343</v>
      </c>
      <c r="GJ119" t="s">
        <v>812</v>
      </c>
      <c r="GK119" t="s">
        <v>610</v>
      </c>
      <c r="GL119">
        <v>0</v>
      </c>
      <c r="GM119">
        <v>0</v>
      </c>
      <c r="GN119">
        <v>508</v>
      </c>
      <c r="GO119">
        <v>457.2</v>
      </c>
      <c r="GP119">
        <v>0</v>
      </c>
      <c r="GR119" s="1">
        <v>45709</v>
      </c>
      <c r="GV119" t="s">
        <v>188</v>
      </c>
      <c r="GW119" t="s">
        <v>188</v>
      </c>
      <c r="GX119" t="s">
        <v>188</v>
      </c>
      <c r="GY119" t="s">
        <v>188</v>
      </c>
      <c r="GZ119" t="s">
        <v>188</v>
      </c>
      <c r="HA119" t="s">
        <v>188</v>
      </c>
      <c r="HB119" t="s">
        <v>188</v>
      </c>
      <c r="HC119" t="s">
        <v>188</v>
      </c>
      <c r="HD119" t="s">
        <v>188</v>
      </c>
      <c r="HE119" t="s">
        <v>188</v>
      </c>
      <c r="HH119">
        <v>0</v>
      </c>
      <c r="HI119">
        <v>0</v>
      </c>
      <c r="HJ119">
        <v>77.989999999999995</v>
      </c>
      <c r="HK119">
        <v>64.7</v>
      </c>
      <c r="HL119">
        <v>1456.9</v>
      </c>
      <c r="HN119" t="s">
        <v>188</v>
      </c>
      <c r="IS119">
        <v>0</v>
      </c>
      <c r="IT119">
        <v>0</v>
      </c>
      <c r="IU119">
        <v>0</v>
      </c>
      <c r="IV119">
        <v>0</v>
      </c>
      <c r="IW119">
        <v>0</v>
      </c>
      <c r="IX119" t="s">
        <v>2218</v>
      </c>
      <c r="IY119">
        <v>0</v>
      </c>
      <c r="IZ119">
        <v>0</v>
      </c>
      <c r="JA119">
        <v>0</v>
      </c>
      <c r="JB119">
        <v>0</v>
      </c>
      <c r="JC119" t="s">
        <v>613</v>
      </c>
      <c r="JD119" t="s">
        <v>2219</v>
      </c>
      <c r="JE119" t="s">
        <v>2220</v>
      </c>
      <c r="JF119">
        <v>0</v>
      </c>
      <c r="JG119" t="s">
        <v>2221</v>
      </c>
      <c r="JH119" t="s">
        <v>188</v>
      </c>
      <c r="JI119">
        <v>0</v>
      </c>
      <c r="JJ119" t="s">
        <v>188</v>
      </c>
      <c r="JK119">
        <v>1669.93</v>
      </c>
      <c r="JL119">
        <v>0</v>
      </c>
      <c r="JM119">
        <v>1</v>
      </c>
    </row>
    <row r="120" spans="1:273" x14ac:dyDescent="0.3">
      <c r="A120" t="s">
        <v>2222</v>
      </c>
      <c r="B120" t="s">
        <v>302</v>
      </c>
      <c r="C120" t="s">
        <v>340</v>
      </c>
      <c r="D120" t="s">
        <v>657</v>
      </c>
      <c r="E120" t="s">
        <v>2209</v>
      </c>
      <c r="F120" t="s">
        <v>659</v>
      </c>
      <c r="G120">
        <v>5</v>
      </c>
      <c r="H120" t="s">
        <v>837</v>
      </c>
      <c r="I120" t="s">
        <v>302</v>
      </c>
      <c r="J120" t="s">
        <v>661</v>
      </c>
      <c r="N120">
        <v>1</v>
      </c>
      <c r="O120">
        <v>1</v>
      </c>
      <c r="P120">
        <v>1</v>
      </c>
      <c r="Q120">
        <v>11</v>
      </c>
      <c r="R120">
        <v>2</v>
      </c>
      <c r="S120">
        <v>0</v>
      </c>
      <c r="T120">
        <v>0</v>
      </c>
      <c r="U120">
        <v>0</v>
      </c>
      <c r="V120" t="s">
        <v>188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0</v>
      </c>
      <c r="AG120">
        <v>0</v>
      </c>
      <c r="AH120" t="s">
        <v>869</v>
      </c>
      <c r="AI120">
        <v>0.2777</v>
      </c>
      <c r="AJ120" t="s">
        <v>199</v>
      </c>
      <c r="AK120">
        <v>1</v>
      </c>
      <c r="AL120">
        <v>1675</v>
      </c>
      <c r="AM120">
        <v>8411</v>
      </c>
      <c r="AN120">
        <v>0</v>
      </c>
      <c r="AO120">
        <v>0</v>
      </c>
      <c r="AP120">
        <v>0</v>
      </c>
      <c r="AQ120">
        <v>0</v>
      </c>
      <c r="AR120">
        <v>77.599999999999994</v>
      </c>
      <c r="AS120">
        <v>56.9</v>
      </c>
      <c r="AT120">
        <v>81.83</v>
      </c>
      <c r="AU120">
        <v>0</v>
      </c>
      <c r="AV120">
        <v>0</v>
      </c>
      <c r="AW120">
        <v>5578.86</v>
      </c>
      <c r="AX120">
        <v>68.989999999999995</v>
      </c>
      <c r="AY120">
        <v>1280.57</v>
      </c>
      <c r="AZ120">
        <v>0</v>
      </c>
      <c r="BA120">
        <v>77.599999999999994</v>
      </c>
      <c r="BB120">
        <v>0</v>
      </c>
      <c r="BC120">
        <v>26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150</v>
      </c>
      <c r="BN120">
        <v>500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500</v>
      </c>
      <c r="BV120">
        <v>1308</v>
      </c>
      <c r="BW120" t="s">
        <v>188</v>
      </c>
      <c r="BX120">
        <v>0</v>
      </c>
      <c r="BY120" t="s">
        <v>2210</v>
      </c>
      <c r="CA120">
        <v>500</v>
      </c>
      <c r="CB120">
        <v>77.599999999999994</v>
      </c>
      <c r="CC120">
        <v>8005</v>
      </c>
      <c r="CD120" t="s">
        <v>188</v>
      </c>
      <c r="CE120" t="s">
        <v>2211</v>
      </c>
      <c r="CF120" t="s">
        <v>2212</v>
      </c>
      <c r="CG120" t="s">
        <v>2213</v>
      </c>
      <c r="CI120" t="s">
        <v>2076</v>
      </c>
      <c r="CK120">
        <v>250</v>
      </c>
      <c r="CL120" t="s">
        <v>2214</v>
      </c>
      <c r="CM120" t="s">
        <v>2215</v>
      </c>
      <c r="CN120" t="s">
        <v>602</v>
      </c>
      <c r="CO120">
        <v>0</v>
      </c>
      <c r="CP120" t="s">
        <v>188</v>
      </c>
      <c r="CQ120" t="s">
        <v>188</v>
      </c>
      <c r="CR120">
        <v>204</v>
      </c>
      <c r="CS120">
        <v>0</v>
      </c>
      <c r="CX120">
        <v>0</v>
      </c>
      <c r="CY120">
        <v>0</v>
      </c>
      <c r="CZ120">
        <v>0</v>
      </c>
      <c r="DA120">
        <v>0</v>
      </c>
      <c r="DC120">
        <v>0</v>
      </c>
      <c r="DD120">
        <v>0</v>
      </c>
      <c r="DJ120" t="s">
        <v>2216</v>
      </c>
      <c r="DQ120" t="s">
        <v>2217</v>
      </c>
      <c r="DR120">
        <v>1400</v>
      </c>
      <c r="EW120" t="s">
        <v>188</v>
      </c>
      <c r="EX120" t="s">
        <v>188</v>
      </c>
      <c r="EY120" t="s">
        <v>188</v>
      </c>
      <c r="EZ120" t="s">
        <v>188</v>
      </c>
      <c r="FA120">
        <v>4</v>
      </c>
      <c r="FB120" t="s">
        <v>188</v>
      </c>
      <c r="FC120" t="s">
        <v>681</v>
      </c>
      <c r="FD120" t="s">
        <v>682</v>
      </c>
      <c r="FE120">
        <v>1.1111111111111101E+31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 t="s">
        <v>188</v>
      </c>
      <c r="GF120" t="s">
        <v>188</v>
      </c>
      <c r="GG120" t="s">
        <v>188</v>
      </c>
      <c r="GH120" s="1">
        <v>45343</v>
      </c>
      <c r="GJ120" t="s">
        <v>812</v>
      </c>
      <c r="GK120" t="s">
        <v>812</v>
      </c>
      <c r="GL120">
        <v>0</v>
      </c>
      <c r="GM120">
        <v>0</v>
      </c>
      <c r="GN120">
        <v>508</v>
      </c>
      <c r="GO120">
        <v>457.2</v>
      </c>
      <c r="GP120">
        <v>0</v>
      </c>
      <c r="GR120" s="1">
        <v>45344</v>
      </c>
      <c r="GV120" t="s">
        <v>188</v>
      </c>
      <c r="GW120" t="s">
        <v>188</v>
      </c>
      <c r="GX120" t="s">
        <v>188</v>
      </c>
      <c r="GY120" t="s">
        <v>188</v>
      </c>
      <c r="GZ120" t="s">
        <v>188</v>
      </c>
      <c r="HA120" t="s">
        <v>188</v>
      </c>
      <c r="HB120" t="s">
        <v>188</v>
      </c>
      <c r="HC120" t="s">
        <v>188</v>
      </c>
      <c r="HD120" t="s">
        <v>188</v>
      </c>
      <c r="HE120" t="s">
        <v>188</v>
      </c>
      <c r="HH120">
        <v>0</v>
      </c>
      <c r="HI120">
        <v>0</v>
      </c>
      <c r="HJ120">
        <v>77.989999999999995</v>
      </c>
      <c r="HK120">
        <v>64.7</v>
      </c>
      <c r="HL120">
        <v>1456.9</v>
      </c>
      <c r="HN120" t="s">
        <v>188</v>
      </c>
      <c r="IS120">
        <v>0</v>
      </c>
      <c r="IT120">
        <v>0</v>
      </c>
      <c r="IU120">
        <v>0</v>
      </c>
      <c r="IV120">
        <v>0</v>
      </c>
      <c r="IW120">
        <v>0</v>
      </c>
      <c r="IX120" t="s">
        <v>2218</v>
      </c>
      <c r="IY120">
        <v>0</v>
      </c>
      <c r="IZ120">
        <v>0</v>
      </c>
      <c r="JA120">
        <v>0</v>
      </c>
      <c r="JB120">
        <v>0</v>
      </c>
      <c r="JC120" t="s">
        <v>613</v>
      </c>
      <c r="JD120" t="s">
        <v>2219</v>
      </c>
      <c r="JE120" t="s">
        <v>2220</v>
      </c>
      <c r="JF120">
        <v>0</v>
      </c>
      <c r="JG120" t="s">
        <v>2221</v>
      </c>
      <c r="JH120" t="s">
        <v>188</v>
      </c>
      <c r="JI120">
        <v>0</v>
      </c>
      <c r="JJ120" t="s">
        <v>188</v>
      </c>
      <c r="JK120">
        <v>1669.93</v>
      </c>
      <c r="JL120">
        <v>0</v>
      </c>
      <c r="JM120">
        <v>1</v>
      </c>
    </row>
    <row r="121" spans="1:273" x14ac:dyDescent="0.3">
      <c r="A121" t="s">
        <v>2223</v>
      </c>
      <c r="B121" t="s">
        <v>302</v>
      </c>
      <c r="C121" t="s">
        <v>340</v>
      </c>
      <c r="D121" t="s">
        <v>590</v>
      </c>
      <c r="E121" t="s">
        <v>2224</v>
      </c>
      <c r="F121" t="s">
        <v>592</v>
      </c>
      <c r="G121">
        <v>8</v>
      </c>
      <c r="H121" t="s">
        <v>2225</v>
      </c>
      <c r="I121" t="s">
        <v>594</v>
      </c>
      <c r="J121" t="s">
        <v>595</v>
      </c>
      <c r="L121" t="s">
        <v>2224</v>
      </c>
      <c r="M121" t="s">
        <v>2223</v>
      </c>
      <c r="N121">
        <v>1</v>
      </c>
      <c r="O121">
        <v>1</v>
      </c>
      <c r="P121">
        <v>1</v>
      </c>
      <c r="Q121">
        <v>8</v>
      </c>
      <c r="R121">
        <v>2</v>
      </c>
      <c r="S121">
        <v>0</v>
      </c>
      <c r="T121">
        <v>0</v>
      </c>
      <c r="U121">
        <v>0</v>
      </c>
      <c r="V121" t="s">
        <v>188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 t="s">
        <v>188</v>
      </c>
      <c r="AD121">
        <v>0</v>
      </c>
      <c r="AE121">
        <v>0</v>
      </c>
      <c r="AF121">
        <v>0</v>
      </c>
      <c r="AG121">
        <v>0</v>
      </c>
      <c r="AH121" t="s">
        <v>596</v>
      </c>
      <c r="AI121">
        <v>1</v>
      </c>
      <c r="AJ121" t="s">
        <v>199</v>
      </c>
      <c r="AK121">
        <v>1</v>
      </c>
      <c r="AL121">
        <v>102</v>
      </c>
      <c r="AM121">
        <v>406</v>
      </c>
      <c r="AN121">
        <v>0</v>
      </c>
      <c r="AO121">
        <v>0</v>
      </c>
      <c r="AP121">
        <v>0</v>
      </c>
      <c r="AQ121">
        <v>0</v>
      </c>
      <c r="AR121">
        <v>39</v>
      </c>
      <c r="AS121">
        <v>22.25</v>
      </c>
      <c r="AT121">
        <v>43.07</v>
      </c>
      <c r="AU121">
        <v>0</v>
      </c>
      <c r="AV121">
        <v>0</v>
      </c>
      <c r="AW121">
        <v>199.26</v>
      </c>
      <c r="AX121">
        <v>31.38</v>
      </c>
      <c r="AY121">
        <v>142.32</v>
      </c>
      <c r="AZ121">
        <v>0</v>
      </c>
      <c r="BA121">
        <v>39</v>
      </c>
      <c r="BB121">
        <v>0</v>
      </c>
      <c r="BC121">
        <v>34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400</v>
      </c>
      <c r="BN121">
        <v>1000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1000</v>
      </c>
      <c r="BV121">
        <v>406</v>
      </c>
      <c r="BW121" t="s">
        <v>188</v>
      </c>
      <c r="BX121">
        <v>0</v>
      </c>
      <c r="BY121" t="s">
        <v>2223</v>
      </c>
      <c r="CA121">
        <v>1000</v>
      </c>
      <c r="CB121">
        <v>39</v>
      </c>
      <c r="CC121">
        <v>406</v>
      </c>
      <c r="CD121" t="s">
        <v>188</v>
      </c>
      <c r="CE121" t="s">
        <v>2226</v>
      </c>
      <c r="CF121" t="s">
        <v>2227</v>
      </c>
      <c r="CG121" t="s">
        <v>2228</v>
      </c>
      <c r="CI121">
        <v>0</v>
      </c>
      <c r="CK121">
        <v>25</v>
      </c>
      <c r="CL121" t="s">
        <v>2229</v>
      </c>
      <c r="CM121" t="s">
        <v>2230</v>
      </c>
      <c r="CN121" t="s">
        <v>602</v>
      </c>
      <c r="CP121" t="s">
        <v>188</v>
      </c>
      <c r="CQ121" t="s">
        <v>188</v>
      </c>
      <c r="CR121">
        <v>76</v>
      </c>
      <c r="CS121">
        <v>0</v>
      </c>
      <c r="CT121" t="s">
        <v>2231</v>
      </c>
      <c r="CX121">
        <v>0</v>
      </c>
      <c r="CY121">
        <v>0</v>
      </c>
      <c r="CZ121">
        <v>0</v>
      </c>
      <c r="DA121">
        <v>0</v>
      </c>
      <c r="DB121" t="s">
        <v>2232</v>
      </c>
      <c r="DC121">
        <v>0</v>
      </c>
      <c r="DD121">
        <v>0</v>
      </c>
      <c r="DI121" t="s">
        <v>2223</v>
      </c>
      <c r="DJ121" t="s">
        <v>2233</v>
      </c>
      <c r="DK121">
        <v>250</v>
      </c>
      <c r="DQ121" t="s">
        <v>653</v>
      </c>
      <c r="DR121">
        <v>110</v>
      </c>
      <c r="DS121">
        <v>0</v>
      </c>
      <c r="DT121">
        <v>0</v>
      </c>
      <c r="DU121">
        <v>0</v>
      </c>
      <c r="DV121">
        <v>0</v>
      </c>
      <c r="EW121" t="s">
        <v>188</v>
      </c>
      <c r="EX121" t="s">
        <v>188</v>
      </c>
      <c r="EY121" t="s">
        <v>188</v>
      </c>
      <c r="EZ121" t="s">
        <v>188</v>
      </c>
      <c r="FA121">
        <v>4</v>
      </c>
      <c r="FB121" t="s">
        <v>188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 t="s">
        <v>188</v>
      </c>
      <c r="GF121" t="s">
        <v>188</v>
      </c>
      <c r="GG121" t="s">
        <v>188</v>
      </c>
      <c r="GH121" s="1">
        <v>44648</v>
      </c>
      <c r="GI121" t="s">
        <v>608</v>
      </c>
      <c r="GJ121" t="s">
        <v>609</v>
      </c>
      <c r="GK121" t="s">
        <v>610</v>
      </c>
      <c r="GN121">
        <v>254</v>
      </c>
      <c r="GO121">
        <v>254</v>
      </c>
      <c r="GP121">
        <v>0</v>
      </c>
      <c r="GQ121" t="s">
        <v>611</v>
      </c>
      <c r="GR121" s="1">
        <v>44648</v>
      </c>
      <c r="GV121" t="s">
        <v>188</v>
      </c>
      <c r="GW121" t="s">
        <v>188</v>
      </c>
      <c r="GX121" t="s">
        <v>188</v>
      </c>
      <c r="GY121" t="s">
        <v>188</v>
      </c>
      <c r="GZ121" t="s">
        <v>188</v>
      </c>
      <c r="HA121" t="s">
        <v>188</v>
      </c>
      <c r="HB121" t="s">
        <v>188</v>
      </c>
      <c r="HC121" t="s">
        <v>188</v>
      </c>
      <c r="HD121" t="s">
        <v>188</v>
      </c>
      <c r="HE121" t="s">
        <v>188</v>
      </c>
      <c r="HH121">
        <v>0</v>
      </c>
      <c r="HI121">
        <v>0</v>
      </c>
      <c r="HJ121">
        <v>35.340000000000003</v>
      </c>
      <c r="HK121">
        <v>29.57</v>
      </c>
      <c r="HL121">
        <v>162.55000000000001</v>
      </c>
      <c r="HN121" t="s">
        <v>188</v>
      </c>
      <c r="IS121">
        <v>0</v>
      </c>
      <c r="IT121">
        <v>0</v>
      </c>
      <c r="IU121">
        <v>0</v>
      </c>
      <c r="IV121">
        <v>0</v>
      </c>
      <c r="IW121">
        <v>0</v>
      </c>
      <c r="IX121" t="s">
        <v>2234</v>
      </c>
      <c r="IY121">
        <v>0</v>
      </c>
      <c r="IZ121">
        <v>0</v>
      </c>
      <c r="JA121">
        <v>0</v>
      </c>
      <c r="JB121">
        <v>0</v>
      </c>
      <c r="JC121" t="s">
        <v>613</v>
      </c>
      <c r="JD121" t="s">
        <v>1758</v>
      </c>
      <c r="JF121">
        <v>0</v>
      </c>
      <c r="JH121" t="s">
        <v>188</v>
      </c>
      <c r="JI121">
        <v>0</v>
      </c>
      <c r="JJ121" t="s">
        <v>188</v>
      </c>
      <c r="JK121">
        <v>239.36</v>
      </c>
      <c r="JL121">
        <v>0</v>
      </c>
      <c r="JM121">
        <v>1</v>
      </c>
    </row>
    <row r="122" spans="1:273" x14ac:dyDescent="0.3">
      <c r="A122" t="s">
        <v>2235</v>
      </c>
      <c r="B122" t="s">
        <v>302</v>
      </c>
      <c r="C122" t="s">
        <v>340</v>
      </c>
      <c r="D122" t="s">
        <v>590</v>
      </c>
      <c r="E122" t="s">
        <v>2224</v>
      </c>
      <c r="F122" t="s">
        <v>592</v>
      </c>
      <c r="G122">
        <v>8</v>
      </c>
      <c r="H122" t="s">
        <v>2236</v>
      </c>
      <c r="I122" t="s">
        <v>594</v>
      </c>
      <c r="J122" t="s">
        <v>595</v>
      </c>
      <c r="L122" t="s">
        <v>2224</v>
      </c>
      <c r="M122" t="s">
        <v>2235</v>
      </c>
      <c r="N122">
        <v>1</v>
      </c>
      <c r="O122">
        <v>1</v>
      </c>
      <c r="P122">
        <v>1</v>
      </c>
      <c r="Q122">
        <v>7</v>
      </c>
      <c r="R122">
        <v>2</v>
      </c>
      <c r="S122">
        <v>0</v>
      </c>
      <c r="T122">
        <v>0</v>
      </c>
      <c r="U122">
        <v>0</v>
      </c>
      <c r="V122" t="s">
        <v>188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 t="s">
        <v>188</v>
      </c>
      <c r="AD122">
        <v>0</v>
      </c>
      <c r="AE122">
        <v>0</v>
      </c>
      <c r="AF122">
        <v>0</v>
      </c>
      <c r="AG122">
        <v>0</v>
      </c>
      <c r="AH122" t="s">
        <v>596</v>
      </c>
      <c r="AI122">
        <v>1</v>
      </c>
      <c r="AJ122" t="s">
        <v>199</v>
      </c>
      <c r="AK122">
        <v>1</v>
      </c>
      <c r="AL122">
        <v>3.4</v>
      </c>
      <c r="AM122">
        <v>17.45</v>
      </c>
      <c r="AN122">
        <v>0</v>
      </c>
      <c r="AO122">
        <v>0</v>
      </c>
      <c r="AP122">
        <v>0</v>
      </c>
      <c r="AQ122">
        <v>0</v>
      </c>
      <c r="AR122">
        <v>23.3</v>
      </c>
      <c r="AS122">
        <v>16.2</v>
      </c>
      <c r="AT122">
        <v>40.97</v>
      </c>
      <c r="AU122">
        <v>0</v>
      </c>
      <c r="AV122">
        <v>0</v>
      </c>
      <c r="AW122">
        <v>14.76</v>
      </c>
      <c r="AX122">
        <v>18.14</v>
      </c>
      <c r="AY122">
        <v>6.41</v>
      </c>
      <c r="AZ122">
        <v>0</v>
      </c>
      <c r="BA122">
        <v>23.3</v>
      </c>
      <c r="BB122">
        <v>0</v>
      </c>
      <c r="BC122">
        <v>21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700</v>
      </c>
      <c r="BN122">
        <v>1500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1500</v>
      </c>
      <c r="BV122">
        <v>254</v>
      </c>
      <c r="BW122" t="s">
        <v>188</v>
      </c>
      <c r="BX122">
        <v>0</v>
      </c>
      <c r="BY122" t="s">
        <v>2235</v>
      </c>
      <c r="CA122">
        <v>1500</v>
      </c>
      <c r="CB122">
        <v>23.3</v>
      </c>
      <c r="CC122">
        <v>17.45</v>
      </c>
      <c r="CD122" t="s">
        <v>188</v>
      </c>
      <c r="CE122" t="s">
        <v>2237</v>
      </c>
      <c r="CF122" t="s">
        <v>2238</v>
      </c>
      <c r="CG122" t="s">
        <v>2239</v>
      </c>
      <c r="CI122">
        <v>0</v>
      </c>
      <c r="CK122">
        <v>1</v>
      </c>
      <c r="CL122" t="s">
        <v>2240</v>
      </c>
      <c r="CM122" t="s">
        <v>2241</v>
      </c>
      <c r="CN122" t="s">
        <v>602</v>
      </c>
      <c r="CP122" t="s">
        <v>188</v>
      </c>
      <c r="CQ122" t="s">
        <v>188</v>
      </c>
      <c r="CR122">
        <v>51</v>
      </c>
      <c r="CS122">
        <v>0</v>
      </c>
      <c r="CT122" t="s">
        <v>2242</v>
      </c>
      <c r="CX122">
        <v>0</v>
      </c>
      <c r="CY122">
        <v>0</v>
      </c>
      <c r="CZ122">
        <v>0</v>
      </c>
      <c r="DA122">
        <v>0</v>
      </c>
      <c r="DB122" t="s">
        <v>2243</v>
      </c>
      <c r="DC122">
        <v>0</v>
      </c>
      <c r="DD122">
        <v>0</v>
      </c>
      <c r="DI122" t="s">
        <v>2235</v>
      </c>
      <c r="DJ122" t="s">
        <v>2244</v>
      </c>
      <c r="DK122">
        <v>50</v>
      </c>
      <c r="DQ122" t="s">
        <v>607</v>
      </c>
      <c r="DR122">
        <v>30</v>
      </c>
      <c r="DS122" t="s">
        <v>719</v>
      </c>
      <c r="DT122">
        <v>30</v>
      </c>
      <c r="DU122">
        <v>0</v>
      </c>
      <c r="DV122">
        <v>0</v>
      </c>
      <c r="EW122" t="s">
        <v>188</v>
      </c>
      <c r="EX122" t="s">
        <v>188</v>
      </c>
      <c r="EY122" t="s">
        <v>188</v>
      </c>
      <c r="EZ122" t="s">
        <v>188</v>
      </c>
      <c r="FA122">
        <v>4</v>
      </c>
      <c r="FB122" t="s">
        <v>188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 t="s">
        <v>188</v>
      </c>
      <c r="GF122" t="s">
        <v>188</v>
      </c>
      <c r="GG122" t="s">
        <v>188</v>
      </c>
      <c r="GH122" s="1">
        <v>44648</v>
      </c>
      <c r="GI122" t="s">
        <v>608</v>
      </c>
      <c r="GJ122" t="s">
        <v>609</v>
      </c>
      <c r="GK122" t="s">
        <v>610</v>
      </c>
      <c r="GN122">
        <v>51</v>
      </c>
      <c r="GO122">
        <v>51</v>
      </c>
      <c r="GP122">
        <v>0</v>
      </c>
      <c r="GQ122" t="s">
        <v>611</v>
      </c>
      <c r="GR122" s="1">
        <v>44648</v>
      </c>
      <c r="GV122" t="s">
        <v>188</v>
      </c>
      <c r="GW122" t="s">
        <v>188</v>
      </c>
      <c r="GX122" t="s">
        <v>188</v>
      </c>
      <c r="GY122" t="s">
        <v>188</v>
      </c>
      <c r="GZ122" t="s">
        <v>188</v>
      </c>
      <c r="HA122" t="s">
        <v>188</v>
      </c>
      <c r="HB122" t="s">
        <v>188</v>
      </c>
      <c r="HC122" t="s">
        <v>188</v>
      </c>
      <c r="HD122" t="s">
        <v>188</v>
      </c>
      <c r="HE122" t="s">
        <v>188</v>
      </c>
      <c r="HH122">
        <v>0</v>
      </c>
      <c r="HI122">
        <v>0</v>
      </c>
      <c r="HJ122">
        <v>22.7</v>
      </c>
      <c r="HK122">
        <v>15.99</v>
      </c>
      <c r="HL122">
        <v>6.98</v>
      </c>
      <c r="HN122" t="s">
        <v>188</v>
      </c>
      <c r="IS122">
        <v>0</v>
      </c>
      <c r="IT122">
        <v>0</v>
      </c>
      <c r="IU122">
        <v>0</v>
      </c>
      <c r="IV122">
        <v>0</v>
      </c>
      <c r="IW122">
        <v>0</v>
      </c>
      <c r="IX122" t="s">
        <v>2245</v>
      </c>
      <c r="IY122">
        <v>0</v>
      </c>
      <c r="IZ122">
        <v>0</v>
      </c>
      <c r="JA122">
        <v>0</v>
      </c>
      <c r="JB122">
        <v>0</v>
      </c>
      <c r="JC122" t="s">
        <v>613</v>
      </c>
      <c r="JD122" t="s">
        <v>627</v>
      </c>
      <c r="JF122">
        <v>0</v>
      </c>
      <c r="JH122" t="s">
        <v>188</v>
      </c>
      <c r="JI122">
        <v>0</v>
      </c>
      <c r="JJ122" t="s">
        <v>188</v>
      </c>
      <c r="JK122">
        <v>6.93</v>
      </c>
      <c r="JL122">
        <v>0</v>
      </c>
      <c r="JM122">
        <v>1</v>
      </c>
    </row>
    <row r="123" spans="1:273" x14ac:dyDescent="0.3">
      <c r="A123" t="s">
        <v>2246</v>
      </c>
      <c r="B123" t="s">
        <v>302</v>
      </c>
      <c r="C123" t="s">
        <v>340</v>
      </c>
      <c r="D123" t="s">
        <v>590</v>
      </c>
      <c r="E123" t="s">
        <v>2224</v>
      </c>
      <c r="F123" t="s">
        <v>592</v>
      </c>
      <c r="G123">
        <v>8</v>
      </c>
      <c r="H123" t="s">
        <v>2247</v>
      </c>
      <c r="I123" t="s">
        <v>594</v>
      </c>
      <c r="J123" t="s">
        <v>595</v>
      </c>
      <c r="L123" t="s">
        <v>2224</v>
      </c>
      <c r="M123" t="s">
        <v>2246</v>
      </c>
      <c r="N123">
        <v>1</v>
      </c>
      <c r="O123">
        <v>1</v>
      </c>
      <c r="P123">
        <v>1</v>
      </c>
      <c r="Q123">
        <v>11</v>
      </c>
      <c r="R123">
        <v>2</v>
      </c>
      <c r="S123">
        <v>0</v>
      </c>
      <c r="T123">
        <v>0</v>
      </c>
      <c r="U123">
        <v>0</v>
      </c>
      <c r="V123" t="s">
        <v>188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 t="s">
        <v>188</v>
      </c>
      <c r="AD123">
        <v>0</v>
      </c>
      <c r="AE123">
        <v>0</v>
      </c>
      <c r="AF123">
        <v>0</v>
      </c>
      <c r="AG123">
        <v>0</v>
      </c>
      <c r="AH123" t="s">
        <v>596</v>
      </c>
      <c r="AI123">
        <v>1</v>
      </c>
      <c r="AJ123" t="s">
        <v>199</v>
      </c>
      <c r="AK123">
        <v>1</v>
      </c>
      <c r="AL123">
        <v>4</v>
      </c>
      <c r="AM123">
        <v>45.5</v>
      </c>
      <c r="AN123">
        <v>0</v>
      </c>
      <c r="AO123">
        <v>0</v>
      </c>
      <c r="AP123">
        <v>0</v>
      </c>
      <c r="AQ123">
        <v>0</v>
      </c>
      <c r="AR123">
        <v>38.9</v>
      </c>
      <c r="AS123">
        <v>29</v>
      </c>
      <c r="AT123">
        <v>41.52</v>
      </c>
      <c r="AU123">
        <v>0</v>
      </c>
      <c r="AV123">
        <v>0</v>
      </c>
      <c r="AW123">
        <v>37.79</v>
      </c>
      <c r="AX123">
        <v>31.74</v>
      </c>
      <c r="AY123">
        <v>28.32</v>
      </c>
      <c r="AZ123">
        <v>0</v>
      </c>
      <c r="BA123">
        <v>38.9</v>
      </c>
      <c r="BB123">
        <v>0</v>
      </c>
      <c r="BC123">
        <v>22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700</v>
      </c>
      <c r="BN123">
        <v>1500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1500</v>
      </c>
      <c r="BV123">
        <v>356</v>
      </c>
      <c r="BW123" t="s">
        <v>188</v>
      </c>
      <c r="BX123">
        <v>0</v>
      </c>
      <c r="BY123" t="s">
        <v>2246</v>
      </c>
      <c r="CA123">
        <v>1500</v>
      </c>
      <c r="CB123">
        <v>38.9</v>
      </c>
      <c r="CC123">
        <v>45.5</v>
      </c>
      <c r="CD123" t="s">
        <v>188</v>
      </c>
      <c r="CE123" t="s">
        <v>2248</v>
      </c>
      <c r="CF123" t="s">
        <v>2249</v>
      </c>
      <c r="CG123" t="s">
        <v>2250</v>
      </c>
      <c r="CI123">
        <v>0</v>
      </c>
      <c r="CK123">
        <v>5</v>
      </c>
      <c r="CL123" t="s">
        <v>2251</v>
      </c>
      <c r="CM123" t="s">
        <v>2252</v>
      </c>
      <c r="CN123" t="s">
        <v>602</v>
      </c>
      <c r="CP123" t="s">
        <v>188</v>
      </c>
      <c r="CQ123" t="s">
        <v>188</v>
      </c>
      <c r="CR123">
        <v>76</v>
      </c>
      <c r="CS123">
        <v>0</v>
      </c>
      <c r="CT123" t="s">
        <v>2253</v>
      </c>
      <c r="CX123">
        <v>0</v>
      </c>
      <c r="CY123">
        <v>0</v>
      </c>
      <c r="CZ123">
        <v>0</v>
      </c>
      <c r="DA123">
        <v>0</v>
      </c>
      <c r="DB123" t="s">
        <v>2254</v>
      </c>
      <c r="DC123">
        <v>0</v>
      </c>
      <c r="DD123">
        <v>0</v>
      </c>
      <c r="DI123" t="s">
        <v>2246</v>
      </c>
      <c r="DJ123" t="s">
        <v>2255</v>
      </c>
      <c r="DK123">
        <v>80</v>
      </c>
      <c r="DQ123" t="s">
        <v>607</v>
      </c>
      <c r="DR123">
        <v>30</v>
      </c>
      <c r="DS123" t="s">
        <v>719</v>
      </c>
      <c r="DT123">
        <v>30</v>
      </c>
      <c r="DU123">
        <v>0</v>
      </c>
      <c r="DV123">
        <v>0</v>
      </c>
      <c r="EW123" t="s">
        <v>188</v>
      </c>
      <c r="EX123" t="s">
        <v>188</v>
      </c>
      <c r="EY123" t="s">
        <v>188</v>
      </c>
      <c r="EZ123" t="s">
        <v>188</v>
      </c>
      <c r="FA123">
        <v>4</v>
      </c>
      <c r="FB123" t="s">
        <v>188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 t="s">
        <v>188</v>
      </c>
      <c r="GF123" t="s">
        <v>188</v>
      </c>
      <c r="GG123" t="s">
        <v>188</v>
      </c>
      <c r="GH123" s="1">
        <v>44648</v>
      </c>
      <c r="GI123" t="s">
        <v>608</v>
      </c>
      <c r="GJ123" t="s">
        <v>609</v>
      </c>
      <c r="GK123" t="s">
        <v>610</v>
      </c>
      <c r="GN123">
        <v>76</v>
      </c>
      <c r="GO123">
        <v>76</v>
      </c>
      <c r="GP123">
        <v>0</v>
      </c>
      <c r="GQ123" t="s">
        <v>611</v>
      </c>
      <c r="GR123" s="1">
        <v>44648</v>
      </c>
      <c r="GV123" t="s">
        <v>188</v>
      </c>
      <c r="GW123" t="s">
        <v>188</v>
      </c>
      <c r="GX123" t="s">
        <v>188</v>
      </c>
      <c r="GY123" t="s">
        <v>188</v>
      </c>
      <c r="GZ123" t="s">
        <v>188</v>
      </c>
      <c r="HA123" t="s">
        <v>188</v>
      </c>
      <c r="HB123" t="s">
        <v>188</v>
      </c>
      <c r="HC123" t="s">
        <v>188</v>
      </c>
      <c r="HD123" t="s">
        <v>188</v>
      </c>
      <c r="HE123" t="s">
        <v>188</v>
      </c>
      <c r="HH123">
        <v>0</v>
      </c>
      <c r="HI123">
        <v>0</v>
      </c>
      <c r="HJ123">
        <v>38.11</v>
      </c>
      <c r="HK123">
        <v>29.07</v>
      </c>
      <c r="HL123">
        <v>31.51</v>
      </c>
      <c r="HN123" t="s">
        <v>188</v>
      </c>
      <c r="IS123">
        <v>0</v>
      </c>
      <c r="IT123">
        <v>0</v>
      </c>
      <c r="IU123">
        <v>0</v>
      </c>
      <c r="IV123">
        <v>0</v>
      </c>
      <c r="IW123">
        <v>0</v>
      </c>
      <c r="IX123" t="s">
        <v>2256</v>
      </c>
      <c r="IY123">
        <v>0</v>
      </c>
      <c r="IZ123">
        <v>0</v>
      </c>
      <c r="JA123">
        <v>0</v>
      </c>
      <c r="JB123">
        <v>0</v>
      </c>
      <c r="JC123" t="s">
        <v>613</v>
      </c>
      <c r="JD123" t="s">
        <v>627</v>
      </c>
      <c r="JF123">
        <v>0</v>
      </c>
      <c r="JH123" t="s">
        <v>188</v>
      </c>
      <c r="JI123">
        <v>0</v>
      </c>
      <c r="JJ123" t="s">
        <v>188</v>
      </c>
      <c r="JK123">
        <v>31.55</v>
      </c>
      <c r="JL123">
        <v>0</v>
      </c>
      <c r="JM123">
        <v>1</v>
      </c>
    </row>
    <row r="124" spans="1:273" x14ac:dyDescent="0.3">
      <c r="A124" t="s">
        <v>2257</v>
      </c>
      <c r="B124" t="s">
        <v>302</v>
      </c>
      <c r="C124" t="s">
        <v>340</v>
      </c>
      <c r="D124" t="s">
        <v>590</v>
      </c>
      <c r="E124" t="s">
        <v>2224</v>
      </c>
      <c r="F124" t="s">
        <v>592</v>
      </c>
      <c r="G124">
        <v>8</v>
      </c>
      <c r="H124" t="s">
        <v>2247</v>
      </c>
      <c r="I124" t="s">
        <v>594</v>
      </c>
      <c r="J124" t="s">
        <v>595</v>
      </c>
      <c r="L124" t="s">
        <v>2224</v>
      </c>
      <c r="M124" t="s">
        <v>2257</v>
      </c>
      <c r="N124">
        <v>1</v>
      </c>
      <c r="O124">
        <v>1</v>
      </c>
      <c r="P124">
        <v>1</v>
      </c>
      <c r="Q124">
        <v>11</v>
      </c>
      <c r="R124">
        <v>2</v>
      </c>
      <c r="S124">
        <v>0</v>
      </c>
      <c r="T124">
        <v>0</v>
      </c>
      <c r="U124">
        <v>0</v>
      </c>
      <c r="V124" t="s">
        <v>188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 t="s">
        <v>188</v>
      </c>
      <c r="AD124">
        <v>0</v>
      </c>
      <c r="AE124">
        <v>0</v>
      </c>
      <c r="AF124">
        <v>0</v>
      </c>
      <c r="AG124">
        <v>0</v>
      </c>
      <c r="AH124" t="s">
        <v>596</v>
      </c>
      <c r="AI124">
        <v>1</v>
      </c>
      <c r="AJ124" t="s">
        <v>199</v>
      </c>
      <c r="AK124">
        <v>1</v>
      </c>
      <c r="AL124">
        <v>4</v>
      </c>
      <c r="AM124">
        <v>45.5</v>
      </c>
      <c r="AN124">
        <v>0</v>
      </c>
      <c r="AO124">
        <v>0</v>
      </c>
      <c r="AP124">
        <v>0</v>
      </c>
      <c r="AQ124">
        <v>0</v>
      </c>
      <c r="AR124">
        <v>38.9</v>
      </c>
      <c r="AS124">
        <v>29</v>
      </c>
      <c r="AT124">
        <v>41.52</v>
      </c>
      <c r="AU124">
        <v>0</v>
      </c>
      <c r="AV124">
        <v>0</v>
      </c>
      <c r="AW124">
        <v>37.79</v>
      </c>
      <c r="AX124">
        <v>31.74</v>
      </c>
      <c r="AY124">
        <v>28.32</v>
      </c>
      <c r="AZ124">
        <v>0</v>
      </c>
      <c r="BA124">
        <v>38.9</v>
      </c>
      <c r="BB124">
        <v>0</v>
      </c>
      <c r="BC124">
        <v>22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700</v>
      </c>
      <c r="BN124">
        <v>1500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1500</v>
      </c>
      <c r="BV124">
        <v>406</v>
      </c>
      <c r="BW124" t="s">
        <v>188</v>
      </c>
      <c r="BX124">
        <v>0</v>
      </c>
      <c r="BY124" t="s">
        <v>2257</v>
      </c>
      <c r="CA124">
        <v>1500</v>
      </c>
      <c r="CB124">
        <v>38.9</v>
      </c>
      <c r="CC124">
        <v>45.5</v>
      </c>
      <c r="CD124" t="s">
        <v>188</v>
      </c>
      <c r="CE124" t="s">
        <v>2248</v>
      </c>
      <c r="CF124" t="s">
        <v>2249</v>
      </c>
      <c r="CG124" t="s">
        <v>2250</v>
      </c>
      <c r="CI124">
        <v>0</v>
      </c>
      <c r="CK124">
        <v>5</v>
      </c>
      <c r="CL124" t="s">
        <v>2251</v>
      </c>
      <c r="CM124" t="s">
        <v>2252</v>
      </c>
      <c r="CN124" t="s">
        <v>602</v>
      </c>
      <c r="CP124" t="s">
        <v>188</v>
      </c>
      <c r="CQ124" t="s">
        <v>188</v>
      </c>
      <c r="CR124">
        <v>76</v>
      </c>
      <c r="CS124">
        <v>0</v>
      </c>
      <c r="CT124" t="s">
        <v>2258</v>
      </c>
      <c r="CX124">
        <v>0</v>
      </c>
      <c r="CY124">
        <v>0</v>
      </c>
      <c r="CZ124">
        <v>0</v>
      </c>
      <c r="DA124">
        <v>0</v>
      </c>
      <c r="DB124" t="s">
        <v>2259</v>
      </c>
      <c r="DC124">
        <v>0</v>
      </c>
      <c r="DD124">
        <v>0</v>
      </c>
      <c r="DI124" t="s">
        <v>2257</v>
      </c>
      <c r="DJ124" t="s">
        <v>2233</v>
      </c>
      <c r="DK124">
        <v>100</v>
      </c>
      <c r="DQ124" t="s">
        <v>607</v>
      </c>
      <c r="DR124">
        <v>30</v>
      </c>
      <c r="DS124">
        <v>0</v>
      </c>
      <c r="DT124">
        <v>0</v>
      </c>
      <c r="DU124">
        <v>0</v>
      </c>
      <c r="DV124">
        <v>0</v>
      </c>
      <c r="EF124" t="s">
        <v>2260</v>
      </c>
      <c r="EG124" t="s">
        <v>2260</v>
      </c>
      <c r="EW124" t="s">
        <v>188</v>
      </c>
      <c r="EX124" t="s">
        <v>188</v>
      </c>
      <c r="EY124" t="s">
        <v>188</v>
      </c>
      <c r="EZ124" t="s">
        <v>188</v>
      </c>
      <c r="FA124">
        <v>4</v>
      </c>
      <c r="FB124" t="s">
        <v>188</v>
      </c>
      <c r="FC124" t="s">
        <v>681</v>
      </c>
      <c r="FD124" t="s">
        <v>682</v>
      </c>
      <c r="FE124">
        <v>1111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 t="s">
        <v>188</v>
      </c>
      <c r="GF124" t="s">
        <v>188</v>
      </c>
      <c r="GG124" t="s">
        <v>188</v>
      </c>
      <c r="GH124" s="1">
        <v>44648</v>
      </c>
      <c r="GI124" t="s">
        <v>608</v>
      </c>
      <c r="GJ124" t="s">
        <v>609</v>
      </c>
      <c r="GK124" t="s">
        <v>610</v>
      </c>
      <c r="GL124">
        <v>0</v>
      </c>
      <c r="GM124">
        <v>0</v>
      </c>
      <c r="GN124">
        <v>102</v>
      </c>
      <c r="GO124">
        <v>102</v>
      </c>
      <c r="GP124">
        <v>0</v>
      </c>
      <c r="GQ124" t="s">
        <v>611</v>
      </c>
      <c r="GR124" s="1">
        <v>44720</v>
      </c>
      <c r="GV124" t="s">
        <v>188</v>
      </c>
      <c r="GW124" t="s">
        <v>188</v>
      </c>
      <c r="GX124" t="s">
        <v>188</v>
      </c>
      <c r="GY124" t="s">
        <v>188</v>
      </c>
      <c r="GZ124" t="s">
        <v>188</v>
      </c>
      <c r="HA124" t="s">
        <v>188</v>
      </c>
      <c r="HB124" t="s">
        <v>188</v>
      </c>
      <c r="HC124" t="s">
        <v>188</v>
      </c>
      <c r="HD124" t="s">
        <v>188</v>
      </c>
      <c r="HE124" t="s">
        <v>188</v>
      </c>
      <c r="HH124">
        <v>0</v>
      </c>
      <c r="HI124">
        <v>0</v>
      </c>
      <c r="HJ124">
        <v>38.11</v>
      </c>
      <c r="HK124">
        <v>29.07</v>
      </c>
      <c r="HL124">
        <v>31.51</v>
      </c>
      <c r="HN124" t="s">
        <v>188</v>
      </c>
      <c r="IS124">
        <v>0</v>
      </c>
      <c r="IT124">
        <v>0</v>
      </c>
      <c r="IU124">
        <v>0</v>
      </c>
      <c r="IV124">
        <v>0</v>
      </c>
      <c r="IW124">
        <v>0</v>
      </c>
      <c r="IX124" t="s">
        <v>2261</v>
      </c>
      <c r="IY124">
        <v>0</v>
      </c>
      <c r="IZ124">
        <v>0</v>
      </c>
      <c r="JA124">
        <v>0</v>
      </c>
      <c r="JB124">
        <v>0</v>
      </c>
      <c r="JC124" t="s">
        <v>613</v>
      </c>
      <c r="JD124" t="s">
        <v>2262</v>
      </c>
      <c r="JF124">
        <v>0</v>
      </c>
      <c r="JH124" t="s">
        <v>188</v>
      </c>
      <c r="JI124">
        <v>0</v>
      </c>
      <c r="JJ124" t="s">
        <v>188</v>
      </c>
      <c r="JK124">
        <v>31.55</v>
      </c>
      <c r="JL124">
        <v>0</v>
      </c>
      <c r="JM124">
        <v>1</v>
      </c>
    </row>
    <row r="125" spans="1:273" x14ac:dyDescent="0.3">
      <c r="A125" t="s">
        <v>2263</v>
      </c>
      <c r="B125" t="s">
        <v>302</v>
      </c>
      <c r="C125" t="s">
        <v>340</v>
      </c>
      <c r="D125" t="s">
        <v>590</v>
      </c>
      <c r="E125" t="s">
        <v>2224</v>
      </c>
      <c r="F125" t="s">
        <v>592</v>
      </c>
      <c r="G125">
        <v>8</v>
      </c>
      <c r="H125" t="s">
        <v>2264</v>
      </c>
      <c r="I125" t="s">
        <v>594</v>
      </c>
      <c r="J125" t="s">
        <v>595</v>
      </c>
      <c r="L125" t="s">
        <v>2224</v>
      </c>
      <c r="M125" t="s">
        <v>2263</v>
      </c>
      <c r="N125">
        <v>1</v>
      </c>
      <c r="O125">
        <v>1</v>
      </c>
      <c r="P125">
        <v>1</v>
      </c>
      <c r="Q125">
        <v>8</v>
      </c>
      <c r="R125">
        <v>2</v>
      </c>
      <c r="S125">
        <v>0</v>
      </c>
      <c r="T125">
        <v>0</v>
      </c>
      <c r="U125">
        <v>0</v>
      </c>
      <c r="V125" t="s">
        <v>188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 t="s">
        <v>188</v>
      </c>
      <c r="AD125">
        <v>0</v>
      </c>
      <c r="AE125">
        <v>0</v>
      </c>
      <c r="AF125">
        <v>0</v>
      </c>
      <c r="AG125">
        <v>0</v>
      </c>
      <c r="AH125" t="s">
        <v>596</v>
      </c>
      <c r="AI125">
        <v>1</v>
      </c>
      <c r="AJ125" t="s">
        <v>199</v>
      </c>
      <c r="AK125">
        <v>1</v>
      </c>
      <c r="AL125">
        <v>14.4</v>
      </c>
      <c r="AM125">
        <v>107.2</v>
      </c>
      <c r="AN125">
        <v>0</v>
      </c>
      <c r="AO125">
        <v>0</v>
      </c>
      <c r="AP125">
        <v>0</v>
      </c>
      <c r="AQ125">
        <v>0</v>
      </c>
      <c r="AR125">
        <v>39.799999999999997</v>
      </c>
      <c r="AS125">
        <v>28.85</v>
      </c>
      <c r="AT125">
        <v>52.51</v>
      </c>
      <c r="AU125">
        <v>0</v>
      </c>
      <c r="AV125">
        <v>0</v>
      </c>
      <c r="AW125">
        <v>85.77</v>
      </c>
      <c r="AX125">
        <v>31.78</v>
      </c>
      <c r="AY125">
        <v>50.89</v>
      </c>
      <c r="AZ125">
        <v>0</v>
      </c>
      <c r="BA125">
        <v>39.799999999999997</v>
      </c>
      <c r="BB125">
        <v>0</v>
      </c>
      <c r="BC125">
        <v>33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700</v>
      </c>
      <c r="BN125">
        <v>1500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1500</v>
      </c>
      <c r="BV125">
        <v>406</v>
      </c>
      <c r="BW125" t="s">
        <v>188</v>
      </c>
      <c r="BX125">
        <v>0</v>
      </c>
      <c r="BY125" t="s">
        <v>2263</v>
      </c>
      <c r="CA125">
        <v>1500</v>
      </c>
      <c r="CB125">
        <v>39.799999999999997</v>
      </c>
      <c r="CC125">
        <v>107.2</v>
      </c>
      <c r="CD125" t="s">
        <v>188</v>
      </c>
      <c r="CE125" t="s">
        <v>2265</v>
      </c>
      <c r="CF125" t="s">
        <v>2266</v>
      </c>
      <c r="CG125" t="s">
        <v>2267</v>
      </c>
      <c r="CI125">
        <v>0</v>
      </c>
      <c r="CK125">
        <v>10</v>
      </c>
      <c r="CL125" t="s">
        <v>2268</v>
      </c>
      <c r="CM125" t="s">
        <v>2269</v>
      </c>
      <c r="CN125" t="s">
        <v>602</v>
      </c>
      <c r="CP125" t="s">
        <v>188</v>
      </c>
      <c r="CQ125" t="s">
        <v>188</v>
      </c>
      <c r="CR125">
        <v>152</v>
      </c>
      <c r="CS125">
        <v>0</v>
      </c>
      <c r="CT125" t="s">
        <v>2270</v>
      </c>
      <c r="CX125">
        <v>0</v>
      </c>
      <c r="CY125">
        <v>0</v>
      </c>
      <c r="CZ125">
        <v>0</v>
      </c>
      <c r="DA125">
        <v>0</v>
      </c>
      <c r="DB125" t="s">
        <v>2271</v>
      </c>
      <c r="DC125">
        <v>0</v>
      </c>
      <c r="DD125">
        <v>0</v>
      </c>
      <c r="DI125" t="s">
        <v>2263</v>
      </c>
      <c r="DJ125" t="s">
        <v>2233</v>
      </c>
      <c r="DK125">
        <v>150</v>
      </c>
      <c r="DQ125" t="s">
        <v>607</v>
      </c>
      <c r="DR125">
        <v>30</v>
      </c>
      <c r="DS125">
        <v>0</v>
      </c>
      <c r="DT125">
        <v>0</v>
      </c>
      <c r="DU125">
        <v>0</v>
      </c>
      <c r="DV125">
        <v>0</v>
      </c>
      <c r="EW125" t="s">
        <v>188</v>
      </c>
      <c r="EX125" t="s">
        <v>188</v>
      </c>
      <c r="EY125" t="s">
        <v>188</v>
      </c>
      <c r="EZ125" t="s">
        <v>188</v>
      </c>
      <c r="FA125">
        <v>4</v>
      </c>
      <c r="FB125" t="s">
        <v>188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 t="s">
        <v>188</v>
      </c>
      <c r="GF125" t="s">
        <v>188</v>
      </c>
      <c r="GG125" t="s">
        <v>188</v>
      </c>
      <c r="GH125" s="1">
        <v>44648</v>
      </c>
      <c r="GI125" t="s">
        <v>608</v>
      </c>
      <c r="GJ125" t="s">
        <v>609</v>
      </c>
      <c r="GK125" t="s">
        <v>610</v>
      </c>
      <c r="GN125">
        <v>152</v>
      </c>
      <c r="GO125">
        <v>152</v>
      </c>
      <c r="GP125">
        <v>0</v>
      </c>
      <c r="GQ125" t="s">
        <v>611</v>
      </c>
      <c r="GR125" s="1">
        <v>44648</v>
      </c>
      <c r="GV125" t="s">
        <v>188</v>
      </c>
      <c r="GW125" t="s">
        <v>188</v>
      </c>
      <c r="GX125" t="s">
        <v>188</v>
      </c>
      <c r="GY125" t="s">
        <v>188</v>
      </c>
      <c r="GZ125" t="s">
        <v>188</v>
      </c>
      <c r="HA125" t="s">
        <v>188</v>
      </c>
      <c r="HB125" t="s">
        <v>188</v>
      </c>
      <c r="HC125" t="s">
        <v>188</v>
      </c>
      <c r="HD125" t="s">
        <v>188</v>
      </c>
      <c r="HE125" t="s">
        <v>188</v>
      </c>
      <c r="HH125">
        <v>0</v>
      </c>
      <c r="HI125">
        <v>0</v>
      </c>
      <c r="HJ125">
        <v>39.39</v>
      </c>
      <c r="HK125">
        <v>29.42</v>
      </c>
      <c r="HL125">
        <v>61.67</v>
      </c>
      <c r="HN125" t="s">
        <v>188</v>
      </c>
      <c r="IS125">
        <v>0</v>
      </c>
      <c r="IT125">
        <v>0</v>
      </c>
      <c r="IU125">
        <v>0</v>
      </c>
      <c r="IV125">
        <v>0</v>
      </c>
      <c r="IW125">
        <v>0</v>
      </c>
      <c r="IX125" t="s">
        <v>2272</v>
      </c>
      <c r="IY125">
        <v>0</v>
      </c>
      <c r="IZ125">
        <v>0</v>
      </c>
      <c r="JA125">
        <v>0</v>
      </c>
      <c r="JB125">
        <v>0</v>
      </c>
      <c r="JC125" t="s">
        <v>613</v>
      </c>
      <c r="JD125" t="s">
        <v>627</v>
      </c>
      <c r="JF125">
        <v>0</v>
      </c>
      <c r="JH125" t="s">
        <v>188</v>
      </c>
      <c r="JI125">
        <v>0</v>
      </c>
      <c r="JJ125" t="s">
        <v>188</v>
      </c>
      <c r="JK125">
        <v>67.38</v>
      </c>
      <c r="JL125">
        <v>0</v>
      </c>
      <c r="JM125">
        <v>1</v>
      </c>
    </row>
    <row r="126" spans="1:273" x14ac:dyDescent="0.3">
      <c r="A126" t="s">
        <v>2273</v>
      </c>
      <c r="B126" t="s">
        <v>302</v>
      </c>
      <c r="C126" t="s">
        <v>340</v>
      </c>
      <c r="D126" t="s">
        <v>590</v>
      </c>
      <c r="E126" t="s">
        <v>2224</v>
      </c>
      <c r="F126" t="s">
        <v>592</v>
      </c>
      <c r="G126">
        <v>8</v>
      </c>
      <c r="H126" t="s">
        <v>2274</v>
      </c>
      <c r="I126" t="s">
        <v>594</v>
      </c>
      <c r="J126" t="s">
        <v>595</v>
      </c>
      <c r="L126" t="s">
        <v>2224</v>
      </c>
      <c r="M126" t="s">
        <v>2273</v>
      </c>
      <c r="N126">
        <v>1</v>
      </c>
      <c r="O126">
        <v>1</v>
      </c>
      <c r="P126">
        <v>1</v>
      </c>
      <c r="Q126">
        <v>7</v>
      </c>
      <c r="R126">
        <v>2</v>
      </c>
      <c r="S126">
        <v>0</v>
      </c>
      <c r="T126">
        <v>0</v>
      </c>
      <c r="U126">
        <v>0</v>
      </c>
      <c r="V126" t="s">
        <v>188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 t="s">
        <v>188</v>
      </c>
      <c r="AD126">
        <v>0</v>
      </c>
      <c r="AE126">
        <v>0</v>
      </c>
      <c r="AF126">
        <v>0</v>
      </c>
      <c r="AG126">
        <v>0</v>
      </c>
      <c r="AH126" t="s">
        <v>596</v>
      </c>
      <c r="AI126">
        <v>1</v>
      </c>
      <c r="AJ126" t="s">
        <v>199</v>
      </c>
      <c r="AK126">
        <v>1</v>
      </c>
      <c r="AL126">
        <v>22.5</v>
      </c>
      <c r="AM126">
        <v>141.5</v>
      </c>
      <c r="AN126">
        <v>0</v>
      </c>
      <c r="AO126">
        <v>0</v>
      </c>
      <c r="AP126">
        <v>0</v>
      </c>
      <c r="AQ126">
        <v>0</v>
      </c>
      <c r="AR126">
        <v>35</v>
      </c>
      <c r="AS126">
        <v>23.7</v>
      </c>
      <c r="AT126">
        <v>41.92</v>
      </c>
      <c r="AU126">
        <v>0</v>
      </c>
      <c r="AV126">
        <v>0</v>
      </c>
      <c r="AW126">
        <v>100.62</v>
      </c>
      <c r="AX126">
        <v>28.48</v>
      </c>
      <c r="AY126">
        <v>67.03</v>
      </c>
      <c r="AZ126">
        <v>0</v>
      </c>
      <c r="BA126">
        <v>35</v>
      </c>
      <c r="BB126">
        <v>0</v>
      </c>
      <c r="BC126">
        <v>39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700</v>
      </c>
      <c r="BN126">
        <v>1500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1500</v>
      </c>
      <c r="BV126">
        <v>406</v>
      </c>
      <c r="BW126" t="s">
        <v>188</v>
      </c>
      <c r="BX126">
        <v>0</v>
      </c>
      <c r="BY126" t="s">
        <v>2273</v>
      </c>
      <c r="CA126">
        <v>1500</v>
      </c>
      <c r="CB126">
        <v>35</v>
      </c>
      <c r="CC126">
        <v>141.5</v>
      </c>
      <c r="CD126" t="s">
        <v>188</v>
      </c>
      <c r="CE126" t="s">
        <v>2275</v>
      </c>
      <c r="CF126" t="s">
        <v>2276</v>
      </c>
      <c r="CG126" t="s">
        <v>2277</v>
      </c>
      <c r="CI126">
        <v>0</v>
      </c>
      <c r="CK126">
        <v>10</v>
      </c>
      <c r="CL126" t="s">
        <v>2278</v>
      </c>
      <c r="CM126" t="s">
        <v>2279</v>
      </c>
      <c r="CN126" t="s">
        <v>602</v>
      </c>
      <c r="CP126" t="s">
        <v>188</v>
      </c>
      <c r="CQ126" t="s">
        <v>188</v>
      </c>
      <c r="CR126">
        <v>200</v>
      </c>
      <c r="CS126">
        <v>0</v>
      </c>
      <c r="CT126" t="s">
        <v>2280</v>
      </c>
      <c r="CX126">
        <v>0</v>
      </c>
      <c r="CY126">
        <v>0</v>
      </c>
      <c r="CZ126">
        <v>0</v>
      </c>
      <c r="DA126">
        <v>0</v>
      </c>
      <c r="DB126" t="s">
        <v>2281</v>
      </c>
      <c r="DC126">
        <v>0</v>
      </c>
      <c r="DD126">
        <v>0</v>
      </c>
      <c r="DI126" t="s">
        <v>2273</v>
      </c>
      <c r="DJ126" t="s">
        <v>2233</v>
      </c>
      <c r="DK126">
        <v>200</v>
      </c>
      <c r="DQ126" t="s">
        <v>639</v>
      </c>
      <c r="DR126">
        <v>75</v>
      </c>
      <c r="DS126" t="s">
        <v>653</v>
      </c>
      <c r="DT126">
        <v>110</v>
      </c>
      <c r="DU126">
        <v>0</v>
      </c>
      <c r="DV126">
        <v>0</v>
      </c>
      <c r="EW126" t="s">
        <v>188</v>
      </c>
      <c r="EX126" t="s">
        <v>188</v>
      </c>
      <c r="EY126" t="s">
        <v>188</v>
      </c>
      <c r="EZ126" t="s">
        <v>188</v>
      </c>
      <c r="FA126">
        <v>4</v>
      </c>
      <c r="FB126" t="s">
        <v>188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 t="s">
        <v>188</v>
      </c>
      <c r="GF126" t="s">
        <v>188</v>
      </c>
      <c r="GG126" t="s">
        <v>188</v>
      </c>
      <c r="GH126" s="1">
        <v>44648</v>
      </c>
      <c r="GI126" t="s">
        <v>608</v>
      </c>
      <c r="GJ126" t="s">
        <v>609</v>
      </c>
      <c r="GK126" t="s">
        <v>610</v>
      </c>
      <c r="GN126">
        <v>203.2</v>
      </c>
      <c r="GO126">
        <v>203.2</v>
      </c>
      <c r="GP126">
        <v>0</v>
      </c>
      <c r="GQ126" t="s">
        <v>611</v>
      </c>
      <c r="GR126" s="1">
        <v>44648</v>
      </c>
      <c r="GV126" t="s">
        <v>188</v>
      </c>
      <c r="GW126" t="s">
        <v>188</v>
      </c>
      <c r="GX126" t="s">
        <v>188</v>
      </c>
      <c r="GY126" t="s">
        <v>188</v>
      </c>
      <c r="GZ126" t="s">
        <v>188</v>
      </c>
      <c r="HA126" t="s">
        <v>188</v>
      </c>
      <c r="HB126" t="s">
        <v>188</v>
      </c>
      <c r="HC126" t="s">
        <v>188</v>
      </c>
      <c r="HD126" t="s">
        <v>188</v>
      </c>
      <c r="HE126" t="s">
        <v>188</v>
      </c>
      <c r="HH126">
        <v>0</v>
      </c>
      <c r="HI126">
        <v>0</v>
      </c>
      <c r="HJ126">
        <v>34.200000000000003</v>
      </c>
      <c r="HK126">
        <v>26.08</v>
      </c>
      <c r="HL126">
        <v>74.599999999999994</v>
      </c>
      <c r="HN126" t="s">
        <v>188</v>
      </c>
      <c r="IS126">
        <v>0</v>
      </c>
      <c r="IT126">
        <v>0</v>
      </c>
      <c r="IU126">
        <v>0</v>
      </c>
      <c r="IV126">
        <v>0</v>
      </c>
      <c r="IW126">
        <v>0</v>
      </c>
      <c r="IX126" t="s">
        <v>2282</v>
      </c>
      <c r="IY126">
        <v>0</v>
      </c>
      <c r="IZ126">
        <v>0</v>
      </c>
      <c r="JA126">
        <v>0</v>
      </c>
      <c r="JB126">
        <v>0</v>
      </c>
      <c r="JC126" t="s">
        <v>613</v>
      </c>
      <c r="JD126" t="s">
        <v>627</v>
      </c>
      <c r="JF126">
        <v>0</v>
      </c>
      <c r="JH126" t="s">
        <v>188</v>
      </c>
      <c r="JI126">
        <v>0</v>
      </c>
      <c r="JJ126" t="s">
        <v>188</v>
      </c>
      <c r="JK126">
        <v>82.19</v>
      </c>
      <c r="JL126">
        <v>0</v>
      </c>
      <c r="JM126">
        <v>1</v>
      </c>
    </row>
    <row r="127" spans="1:273" x14ac:dyDescent="0.3">
      <c r="A127" t="s">
        <v>2283</v>
      </c>
      <c r="B127" t="s">
        <v>302</v>
      </c>
      <c r="C127" t="s">
        <v>340</v>
      </c>
      <c r="D127" t="s">
        <v>590</v>
      </c>
      <c r="E127" t="s">
        <v>2284</v>
      </c>
      <c r="F127" t="s">
        <v>592</v>
      </c>
      <c r="G127">
        <v>5</v>
      </c>
      <c r="H127" t="s">
        <v>2285</v>
      </c>
      <c r="I127" t="s">
        <v>594</v>
      </c>
      <c r="J127" t="s">
        <v>595</v>
      </c>
      <c r="L127" t="s">
        <v>2284</v>
      </c>
      <c r="M127" t="s">
        <v>2283</v>
      </c>
      <c r="N127">
        <v>4</v>
      </c>
      <c r="O127">
        <v>4</v>
      </c>
      <c r="P127">
        <v>1</v>
      </c>
      <c r="Q127">
        <v>9</v>
      </c>
      <c r="R127">
        <v>2</v>
      </c>
      <c r="S127">
        <v>0</v>
      </c>
      <c r="T127">
        <v>0</v>
      </c>
      <c r="U127">
        <v>0</v>
      </c>
      <c r="V127" t="s">
        <v>188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 t="s">
        <v>188</v>
      </c>
      <c r="AD127">
        <v>0</v>
      </c>
      <c r="AE127">
        <v>0</v>
      </c>
      <c r="AF127">
        <v>0</v>
      </c>
      <c r="AG127">
        <v>0</v>
      </c>
      <c r="AH127" t="s">
        <v>596</v>
      </c>
      <c r="AI127">
        <v>1</v>
      </c>
      <c r="AJ127" t="s">
        <v>199</v>
      </c>
      <c r="AK127">
        <v>1</v>
      </c>
      <c r="AL127">
        <v>11</v>
      </c>
      <c r="AM127">
        <v>32</v>
      </c>
      <c r="AN127">
        <v>0</v>
      </c>
      <c r="AO127">
        <v>0</v>
      </c>
      <c r="AP127">
        <v>0</v>
      </c>
      <c r="AQ127">
        <v>0</v>
      </c>
      <c r="AR127">
        <v>28</v>
      </c>
      <c r="AS127">
        <v>12.6</v>
      </c>
      <c r="AT127">
        <v>46.4</v>
      </c>
      <c r="AU127">
        <v>0</v>
      </c>
      <c r="AV127">
        <v>0</v>
      </c>
      <c r="AW127">
        <v>21.11</v>
      </c>
      <c r="AX127">
        <v>21.49</v>
      </c>
      <c r="AY127">
        <v>9.58</v>
      </c>
      <c r="AZ127">
        <v>0</v>
      </c>
      <c r="BA127">
        <v>28</v>
      </c>
      <c r="BB127">
        <v>0</v>
      </c>
      <c r="BC127">
        <v>20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800</v>
      </c>
      <c r="BN127">
        <v>1400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1400</v>
      </c>
      <c r="BV127">
        <v>290</v>
      </c>
      <c r="BW127" t="s">
        <v>188</v>
      </c>
      <c r="BX127">
        <v>0</v>
      </c>
      <c r="BY127" t="s">
        <v>2286</v>
      </c>
      <c r="CA127" t="s">
        <v>1071</v>
      </c>
      <c r="CB127" t="s">
        <v>2287</v>
      </c>
      <c r="CC127" t="s">
        <v>2288</v>
      </c>
      <c r="CD127" t="s">
        <v>188</v>
      </c>
      <c r="CE127" t="s">
        <v>2289</v>
      </c>
      <c r="CF127" t="s">
        <v>2290</v>
      </c>
      <c r="CG127" t="s">
        <v>2291</v>
      </c>
      <c r="CI127" t="s">
        <v>2292</v>
      </c>
      <c r="CK127" t="s">
        <v>2293</v>
      </c>
      <c r="CL127" t="s">
        <v>2294</v>
      </c>
      <c r="CM127" t="s">
        <v>2295</v>
      </c>
      <c r="CN127" t="s">
        <v>2296</v>
      </c>
      <c r="CO127" t="s">
        <v>930</v>
      </c>
      <c r="CP127" t="s">
        <v>188</v>
      </c>
      <c r="CQ127" t="s">
        <v>188</v>
      </c>
      <c r="CR127">
        <v>19</v>
      </c>
      <c r="CS127">
        <v>0</v>
      </c>
      <c r="CT127" t="s">
        <v>2297</v>
      </c>
      <c r="CX127">
        <v>0</v>
      </c>
      <c r="CY127">
        <v>0</v>
      </c>
      <c r="CZ127">
        <v>0</v>
      </c>
      <c r="DA127">
        <v>0</v>
      </c>
      <c r="DB127" t="s">
        <v>2298</v>
      </c>
      <c r="DC127">
        <v>0</v>
      </c>
      <c r="DD127">
        <v>0</v>
      </c>
      <c r="DI127" t="s">
        <v>2283</v>
      </c>
      <c r="DJ127" t="s">
        <v>2299</v>
      </c>
      <c r="DK127">
        <v>75</v>
      </c>
      <c r="DQ127" t="s">
        <v>738</v>
      </c>
      <c r="DR127">
        <v>30</v>
      </c>
      <c r="DS127">
        <v>0</v>
      </c>
      <c r="DT127">
        <v>0</v>
      </c>
      <c r="DU127">
        <v>0</v>
      </c>
      <c r="DV127">
        <v>0</v>
      </c>
      <c r="EW127" t="s">
        <v>188</v>
      </c>
      <c r="EX127" t="s">
        <v>188</v>
      </c>
      <c r="EY127" t="s">
        <v>188</v>
      </c>
      <c r="EZ127" t="s">
        <v>188</v>
      </c>
      <c r="FA127">
        <v>4</v>
      </c>
      <c r="FB127" t="s">
        <v>188</v>
      </c>
      <c r="FE127">
        <v>1.11111111111111E+27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 t="s">
        <v>188</v>
      </c>
      <c r="GF127" t="s">
        <v>188</v>
      </c>
      <c r="GG127" t="s">
        <v>188</v>
      </c>
      <c r="GH127" s="1">
        <v>44648</v>
      </c>
      <c r="GI127" t="s">
        <v>608</v>
      </c>
      <c r="GJ127" t="s">
        <v>609</v>
      </c>
      <c r="GK127" t="s">
        <v>610</v>
      </c>
      <c r="GN127">
        <v>76.2</v>
      </c>
      <c r="GO127">
        <v>76.2</v>
      </c>
      <c r="GP127">
        <v>0</v>
      </c>
      <c r="GQ127" t="s">
        <v>611</v>
      </c>
      <c r="GR127" s="1">
        <v>44733</v>
      </c>
      <c r="GV127" t="s">
        <v>188</v>
      </c>
      <c r="GW127" t="s">
        <v>188</v>
      </c>
      <c r="GX127" t="s">
        <v>188</v>
      </c>
      <c r="GY127" t="s">
        <v>188</v>
      </c>
      <c r="GZ127" t="s">
        <v>188</v>
      </c>
      <c r="HA127" t="s">
        <v>188</v>
      </c>
      <c r="HB127" t="s">
        <v>188</v>
      </c>
      <c r="HC127" t="s">
        <v>188</v>
      </c>
      <c r="HD127" t="s">
        <v>188</v>
      </c>
      <c r="HE127" t="s">
        <v>188</v>
      </c>
      <c r="HH127">
        <v>0</v>
      </c>
      <c r="HI127">
        <v>0</v>
      </c>
      <c r="HJ127">
        <v>26.67</v>
      </c>
      <c r="HK127">
        <v>18.309999999999999</v>
      </c>
      <c r="HL127">
        <v>10.17</v>
      </c>
      <c r="HN127" t="s">
        <v>188</v>
      </c>
      <c r="IS127">
        <v>0</v>
      </c>
      <c r="IT127">
        <v>0</v>
      </c>
      <c r="IU127">
        <v>0</v>
      </c>
      <c r="IV127">
        <v>0</v>
      </c>
      <c r="IW127">
        <v>0</v>
      </c>
      <c r="IX127" t="s">
        <v>2300</v>
      </c>
      <c r="IY127">
        <v>0</v>
      </c>
      <c r="IZ127">
        <v>0</v>
      </c>
      <c r="JA127">
        <v>0</v>
      </c>
      <c r="JB127">
        <v>0</v>
      </c>
      <c r="JC127" t="s">
        <v>613</v>
      </c>
      <c r="JD127" t="s">
        <v>1697</v>
      </c>
      <c r="JE127" t="s">
        <v>2301</v>
      </c>
      <c r="JF127">
        <v>0</v>
      </c>
      <c r="JG127" t="s">
        <v>2302</v>
      </c>
      <c r="JH127" t="s">
        <v>188</v>
      </c>
      <c r="JI127">
        <v>0</v>
      </c>
      <c r="JJ127" t="s">
        <v>188</v>
      </c>
      <c r="JK127">
        <v>11.92</v>
      </c>
      <c r="JL127">
        <v>0</v>
      </c>
      <c r="JM127">
        <v>4</v>
      </c>
    </row>
    <row r="128" spans="1:273" x14ac:dyDescent="0.3">
      <c r="A128" t="s">
        <v>2303</v>
      </c>
      <c r="B128" t="s">
        <v>302</v>
      </c>
      <c r="C128" t="s">
        <v>340</v>
      </c>
      <c r="D128" t="s">
        <v>590</v>
      </c>
      <c r="E128" t="s">
        <v>2304</v>
      </c>
      <c r="F128" t="s">
        <v>592</v>
      </c>
      <c r="G128">
        <v>5</v>
      </c>
      <c r="H128" t="s">
        <v>2305</v>
      </c>
      <c r="I128" t="s">
        <v>594</v>
      </c>
      <c r="J128" t="s">
        <v>993</v>
      </c>
      <c r="L128" t="s">
        <v>2306</v>
      </c>
      <c r="M128" t="s">
        <v>2307</v>
      </c>
      <c r="N128">
        <v>1</v>
      </c>
      <c r="O128">
        <v>1</v>
      </c>
      <c r="P128">
        <v>1</v>
      </c>
      <c r="Q128">
        <v>9</v>
      </c>
      <c r="R128">
        <v>2</v>
      </c>
      <c r="S128">
        <v>0</v>
      </c>
      <c r="T128">
        <v>0</v>
      </c>
      <c r="U128">
        <v>0</v>
      </c>
      <c r="V128" t="s">
        <v>188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1</v>
      </c>
      <c r="AD128">
        <v>0</v>
      </c>
      <c r="AE128">
        <v>0</v>
      </c>
      <c r="AF128">
        <v>0</v>
      </c>
      <c r="AG128">
        <v>0</v>
      </c>
      <c r="AH128" t="s">
        <v>596</v>
      </c>
      <c r="AI128">
        <v>1</v>
      </c>
      <c r="AJ128" t="s">
        <v>199</v>
      </c>
      <c r="AK128">
        <v>1</v>
      </c>
      <c r="AL128">
        <v>13</v>
      </c>
      <c r="AM128">
        <v>104.5</v>
      </c>
      <c r="AN128">
        <v>0</v>
      </c>
      <c r="AO128">
        <v>0</v>
      </c>
      <c r="AP128">
        <v>0</v>
      </c>
      <c r="AQ128">
        <v>75</v>
      </c>
      <c r="AR128">
        <v>50.2</v>
      </c>
      <c r="AS128">
        <v>35.5</v>
      </c>
      <c r="AT128">
        <v>55.85</v>
      </c>
      <c r="AU128">
        <v>0</v>
      </c>
      <c r="AV128">
        <v>0</v>
      </c>
      <c r="AW128">
        <v>82.96</v>
      </c>
      <c r="AX128">
        <v>40.840000000000003</v>
      </c>
      <c r="AY128">
        <v>59.49</v>
      </c>
      <c r="AZ128">
        <v>0</v>
      </c>
      <c r="BA128">
        <v>50.2</v>
      </c>
      <c r="BB128">
        <v>0</v>
      </c>
      <c r="BC128">
        <v>25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500</v>
      </c>
      <c r="BN128">
        <v>1400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1400</v>
      </c>
      <c r="BV128">
        <v>370</v>
      </c>
      <c r="BW128" t="s">
        <v>188</v>
      </c>
      <c r="BX128">
        <v>0</v>
      </c>
      <c r="BY128" t="s">
        <v>2307</v>
      </c>
      <c r="CA128">
        <v>1400</v>
      </c>
      <c r="CB128">
        <v>50.2</v>
      </c>
      <c r="CC128">
        <v>104.5</v>
      </c>
      <c r="CD128" t="s">
        <v>188</v>
      </c>
      <c r="CE128" t="s">
        <v>2308</v>
      </c>
      <c r="CF128" t="s">
        <v>645</v>
      </c>
      <c r="CG128" t="s">
        <v>2309</v>
      </c>
      <c r="CI128" t="s">
        <v>2310</v>
      </c>
      <c r="CK128">
        <v>10</v>
      </c>
      <c r="CL128" t="s">
        <v>2311</v>
      </c>
      <c r="CM128" t="s">
        <v>2312</v>
      </c>
      <c r="CN128" t="s">
        <v>602</v>
      </c>
      <c r="CO128">
        <v>0</v>
      </c>
      <c r="CP128" t="s">
        <v>188</v>
      </c>
      <c r="CQ128" t="s">
        <v>188</v>
      </c>
      <c r="CR128">
        <v>32</v>
      </c>
      <c r="CS128">
        <v>0</v>
      </c>
      <c r="CT128" t="s">
        <v>2313</v>
      </c>
      <c r="CX128">
        <v>0</v>
      </c>
      <c r="CY128">
        <v>0</v>
      </c>
      <c r="CZ128">
        <v>0</v>
      </c>
      <c r="DA128">
        <v>0</v>
      </c>
      <c r="DB128" t="s">
        <v>2314</v>
      </c>
      <c r="DC128">
        <v>0</v>
      </c>
      <c r="DD128">
        <v>0</v>
      </c>
      <c r="DI128" t="s">
        <v>2307</v>
      </c>
      <c r="DJ128" t="s">
        <v>2315</v>
      </c>
      <c r="DK128">
        <v>100</v>
      </c>
      <c r="DQ128" t="s">
        <v>639</v>
      </c>
      <c r="DR128">
        <v>75</v>
      </c>
      <c r="DS128">
        <v>0</v>
      </c>
      <c r="DT128">
        <v>0</v>
      </c>
      <c r="DU128">
        <v>0</v>
      </c>
      <c r="DV128">
        <v>0</v>
      </c>
      <c r="EW128" t="s">
        <v>188</v>
      </c>
      <c r="EX128" t="s">
        <v>188</v>
      </c>
      <c r="EY128" t="s">
        <v>188</v>
      </c>
      <c r="EZ128" t="s">
        <v>188</v>
      </c>
      <c r="FA128">
        <v>4</v>
      </c>
      <c r="FB128" t="s">
        <v>188</v>
      </c>
      <c r="FE128">
        <v>1.1111111111111099E+23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 t="s">
        <v>188</v>
      </c>
      <c r="GF128" t="s">
        <v>188</v>
      </c>
      <c r="GG128" t="s">
        <v>188</v>
      </c>
      <c r="GH128" s="1">
        <v>44648</v>
      </c>
      <c r="GI128" t="s">
        <v>608</v>
      </c>
      <c r="GJ128" t="s">
        <v>609</v>
      </c>
      <c r="GK128" t="s">
        <v>610</v>
      </c>
      <c r="GL128">
        <v>0</v>
      </c>
      <c r="GM128">
        <v>0</v>
      </c>
      <c r="GN128">
        <v>152.4</v>
      </c>
      <c r="GO128">
        <v>101.6</v>
      </c>
      <c r="GP128">
        <v>0</v>
      </c>
      <c r="GQ128" t="s">
        <v>611</v>
      </c>
      <c r="GR128" s="1">
        <v>44872</v>
      </c>
      <c r="GV128" t="s">
        <v>188</v>
      </c>
      <c r="GW128" t="s">
        <v>188</v>
      </c>
      <c r="GX128" t="s">
        <v>188</v>
      </c>
      <c r="GY128" t="s">
        <v>188</v>
      </c>
      <c r="GZ128" t="s">
        <v>188</v>
      </c>
      <c r="HA128" t="s">
        <v>188</v>
      </c>
      <c r="HB128" t="s">
        <v>188</v>
      </c>
      <c r="HC128" t="s">
        <v>188</v>
      </c>
      <c r="HD128" t="s">
        <v>188</v>
      </c>
      <c r="HE128" t="s">
        <v>188</v>
      </c>
      <c r="HH128">
        <v>0</v>
      </c>
      <c r="HI128">
        <v>0</v>
      </c>
      <c r="HJ128">
        <v>50</v>
      </c>
      <c r="HK128">
        <v>36.840000000000003</v>
      </c>
      <c r="HL128">
        <v>64.989999999999995</v>
      </c>
      <c r="HN128" t="s">
        <v>188</v>
      </c>
      <c r="IS128">
        <v>0</v>
      </c>
      <c r="IT128">
        <v>0</v>
      </c>
      <c r="IU128">
        <v>0</v>
      </c>
      <c r="IV128">
        <v>0</v>
      </c>
      <c r="IW128">
        <v>0</v>
      </c>
      <c r="IX128" t="s">
        <v>654</v>
      </c>
      <c r="IY128">
        <v>0</v>
      </c>
      <c r="IZ128">
        <v>0</v>
      </c>
      <c r="JA128">
        <v>0</v>
      </c>
      <c r="JB128">
        <v>0</v>
      </c>
      <c r="JC128" t="s">
        <v>613</v>
      </c>
      <c r="JD128" t="s">
        <v>2316</v>
      </c>
      <c r="JE128" t="s">
        <v>791</v>
      </c>
      <c r="JF128">
        <v>0</v>
      </c>
      <c r="JH128" t="s">
        <v>188</v>
      </c>
      <c r="JI128">
        <v>0</v>
      </c>
      <c r="JJ128" t="s">
        <v>188</v>
      </c>
      <c r="JK128">
        <v>66.13</v>
      </c>
      <c r="JL128">
        <v>0</v>
      </c>
      <c r="JM128">
        <v>1</v>
      </c>
    </row>
    <row r="129" spans="1:273" x14ac:dyDescent="0.3">
      <c r="A129" t="s">
        <v>2317</v>
      </c>
      <c r="B129" t="s">
        <v>302</v>
      </c>
      <c r="C129" t="s">
        <v>340</v>
      </c>
      <c r="D129" t="s">
        <v>590</v>
      </c>
      <c r="E129" t="s">
        <v>2304</v>
      </c>
      <c r="F129" t="s">
        <v>659</v>
      </c>
      <c r="G129">
        <v>5</v>
      </c>
      <c r="H129" t="s">
        <v>2318</v>
      </c>
      <c r="I129" t="s">
        <v>594</v>
      </c>
      <c r="J129" t="s">
        <v>993</v>
      </c>
      <c r="L129" t="s">
        <v>2319</v>
      </c>
      <c r="M129" t="s">
        <v>2320</v>
      </c>
      <c r="N129">
        <v>1</v>
      </c>
      <c r="O129">
        <v>1</v>
      </c>
      <c r="P129">
        <v>1</v>
      </c>
      <c r="Q129">
        <v>8</v>
      </c>
      <c r="R129">
        <v>2</v>
      </c>
      <c r="S129">
        <v>0</v>
      </c>
      <c r="T129">
        <v>0</v>
      </c>
      <c r="U129">
        <v>0</v>
      </c>
      <c r="V129" t="s">
        <v>188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0</v>
      </c>
      <c r="AH129" t="s">
        <v>596</v>
      </c>
      <c r="AI129">
        <v>1</v>
      </c>
      <c r="AJ129" t="s">
        <v>199</v>
      </c>
      <c r="AK129">
        <v>1</v>
      </c>
      <c r="AL129">
        <v>17.5</v>
      </c>
      <c r="AM129">
        <v>106</v>
      </c>
      <c r="AN129">
        <v>0</v>
      </c>
      <c r="AO129">
        <v>0</v>
      </c>
      <c r="AP129">
        <v>0</v>
      </c>
      <c r="AQ129">
        <v>75</v>
      </c>
      <c r="AR129">
        <v>51.9</v>
      </c>
      <c r="AS129">
        <v>37</v>
      </c>
      <c r="AT129">
        <v>61.91</v>
      </c>
      <c r="AU129">
        <v>0</v>
      </c>
      <c r="AV129">
        <v>0</v>
      </c>
      <c r="AW129">
        <v>82.64</v>
      </c>
      <c r="AX129">
        <v>43.33</v>
      </c>
      <c r="AY129">
        <v>56.71</v>
      </c>
      <c r="AZ129">
        <v>0</v>
      </c>
      <c r="BA129">
        <v>51.9</v>
      </c>
      <c r="BB129">
        <v>0</v>
      </c>
      <c r="BC129">
        <v>24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600</v>
      </c>
      <c r="BN129">
        <v>1400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1400</v>
      </c>
      <c r="BV129">
        <v>370</v>
      </c>
      <c r="BW129" t="s">
        <v>188</v>
      </c>
      <c r="BX129">
        <v>0</v>
      </c>
      <c r="BY129" t="s">
        <v>2320</v>
      </c>
      <c r="CA129">
        <v>1400</v>
      </c>
      <c r="CB129">
        <v>51.9</v>
      </c>
      <c r="CC129">
        <v>106</v>
      </c>
      <c r="CD129" t="s">
        <v>188</v>
      </c>
      <c r="CE129" t="s">
        <v>2321</v>
      </c>
      <c r="CF129" t="s">
        <v>2322</v>
      </c>
      <c r="CG129" t="s">
        <v>2323</v>
      </c>
      <c r="CI129" t="s">
        <v>2324</v>
      </c>
      <c r="CK129">
        <v>10</v>
      </c>
      <c r="CL129" t="s">
        <v>2325</v>
      </c>
      <c r="CM129" t="s">
        <v>2326</v>
      </c>
      <c r="CN129" t="s">
        <v>602</v>
      </c>
      <c r="CO129">
        <v>0</v>
      </c>
      <c r="CP129" t="s">
        <v>188</v>
      </c>
      <c r="CQ129" t="s">
        <v>188</v>
      </c>
      <c r="CR129">
        <v>40</v>
      </c>
      <c r="CS129">
        <v>0</v>
      </c>
      <c r="CT129" t="s">
        <v>2327</v>
      </c>
      <c r="CX129">
        <v>0</v>
      </c>
      <c r="CY129">
        <v>0</v>
      </c>
      <c r="CZ129">
        <v>0</v>
      </c>
      <c r="DA129">
        <v>0</v>
      </c>
      <c r="DB129" t="s">
        <v>2328</v>
      </c>
      <c r="DC129">
        <v>0</v>
      </c>
      <c r="DD129">
        <v>0</v>
      </c>
      <c r="DI129" t="s">
        <v>2320</v>
      </c>
      <c r="DJ129" t="s">
        <v>2329</v>
      </c>
      <c r="DK129">
        <v>100</v>
      </c>
      <c r="DQ129" t="s">
        <v>639</v>
      </c>
      <c r="DR129">
        <v>75</v>
      </c>
      <c r="DS129">
        <v>0</v>
      </c>
      <c r="DT129">
        <v>0</v>
      </c>
      <c r="DU129">
        <v>0</v>
      </c>
      <c r="DV129">
        <v>0</v>
      </c>
      <c r="EW129" t="s">
        <v>188</v>
      </c>
      <c r="EX129" t="s">
        <v>188</v>
      </c>
      <c r="EY129" t="s">
        <v>188</v>
      </c>
      <c r="EZ129" t="s">
        <v>188</v>
      </c>
      <c r="FA129">
        <v>4</v>
      </c>
      <c r="FB129" t="s">
        <v>188</v>
      </c>
      <c r="FE129">
        <v>1.1111111111111099E+23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 t="s">
        <v>188</v>
      </c>
      <c r="GF129" t="s">
        <v>188</v>
      </c>
      <c r="GG129" t="s">
        <v>188</v>
      </c>
      <c r="GH129" s="1">
        <v>44648</v>
      </c>
      <c r="GI129" t="s">
        <v>608</v>
      </c>
      <c r="GJ129" t="s">
        <v>609</v>
      </c>
      <c r="GK129" t="s">
        <v>610</v>
      </c>
      <c r="GL129">
        <v>0</v>
      </c>
      <c r="GM129">
        <v>0</v>
      </c>
      <c r="GN129">
        <v>152.4</v>
      </c>
      <c r="GO129">
        <v>101.6</v>
      </c>
      <c r="GP129">
        <v>0</v>
      </c>
      <c r="GQ129" t="s">
        <v>611</v>
      </c>
      <c r="GR129" s="1">
        <v>44872</v>
      </c>
      <c r="GV129" t="s">
        <v>188</v>
      </c>
      <c r="GW129" t="s">
        <v>188</v>
      </c>
      <c r="GX129" t="s">
        <v>188</v>
      </c>
      <c r="GY129" t="s">
        <v>188</v>
      </c>
      <c r="GZ129" t="s">
        <v>188</v>
      </c>
      <c r="HA129" t="s">
        <v>188</v>
      </c>
      <c r="HB129" t="s">
        <v>188</v>
      </c>
      <c r="HC129" t="s">
        <v>188</v>
      </c>
      <c r="HD129" t="s">
        <v>188</v>
      </c>
      <c r="HE129" t="s">
        <v>188</v>
      </c>
      <c r="HH129">
        <v>0</v>
      </c>
      <c r="HI129">
        <v>0</v>
      </c>
      <c r="HJ129">
        <v>51.21</v>
      </c>
      <c r="HK129">
        <v>39.04</v>
      </c>
      <c r="HL129">
        <v>62.24</v>
      </c>
      <c r="HN129" t="s">
        <v>188</v>
      </c>
      <c r="IS129">
        <v>0</v>
      </c>
      <c r="IT129">
        <v>0</v>
      </c>
      <c r="IU129">
        <v>0</v>
      </c>
      <c r="IV129">
        <v>0</v>
      </c>
      <c r="IW129">
        <v>0</v>
      </c>
      <c r="IX129" t="s">
        <v>2330</v>
      </c>
      <c r="IY129">
        <v>0</v>
      </c>
      <c r="IZ129">
        <v>0</v>
      </c>
      <c r="JA129">
        <v>0</v>
      </c>
      <c r="JB129">
        <v>0</v>
      </c>
      <c r="JC129" t="s">
        <v>613</v>
      </c>
      <c r="JD129" t="s">
        <v>2331</v>
      </c>
      <c r="JE129" t="s">
        <v>791</v>
      </c>
      <c r="JF129">
        <v>0</v>
      </c>
      <c r="JH129" t="s">
        <v>188</v>
      </c>
      <c r="JI129">
        <v>0</v>
      </c>
      <c r="JJ129" t="s">
        <v>188</v>
      </c>
      <c r="JK129">
        <v>64.08</v>
      </c>
      <c r="JL129">
        <v>0</v>
      </c>
      <c r="JM129">
        <v>1</v>
      </c>
    </row>
    <row r="130" spans="1:273" x14ac:dyDescent="0.3">
      <c r="A130" t="s">
        <v>301</v>
      </c>
      <c r="B130" t="s">
        <v>302</v>
      </c>
      <c r="C130" t="s">
        <v>340</v>
      </c>
      <c r="D130" t="s">
        <v>590</v>
      </c>
      <c r="E130" t="s">
        <v>2304</v>
      </c>
      <c r="F130" t="s">
        <v>592</v>
      </c>
      <c r="G130">
        <v>5</v>
      </c>
      <c r="H130" t="s">
        <v>2332</v>
      </c>
      <c r="I130" t="s">
        <v>594</v>
      </c>
      <c r="J130" t="s">
        <v>993</v>
      </c>
      <c r="L130" t="s">
        <v>2306</v>
      </c>
      <c r="M130" t="s">
        <v>2333</v>
      </c>
      <c r="N130">
        <v>1</v>
      </c>
      <c r="O130">
        <v>1</v>
      </c>
      <c r="P130">
        <v>1</v>
      </c>
      <c r="Q130">
        <v>9</v>
      </c>
      <c r="R130">
        <v>2</v>
      </c>
      <c r="S130">
        <v>0</v>
      </c>
      <c r="T130">
        <v>0</v>
      </c>
      <c r="U130">
        <v>0</v>
      </c>
      <c r="V130" t="s">
        <v>188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0</v>
      </c>
      <c r="AH130" t="s">
        <v>596</v>
      </c>
      <c r="AI130">
        <v>1</v>
      </c>
      <c r="AJ130" t="s">
        <v>199</v>
      </c>
      <c r="AK130">
        <v>1</v>
      </c>
      <c r="AL130">
        <v>22</v>
      </c>
      <c r="AM130">
        <v>181</v>
      </c>
      <c r="AN130">
        <v>0</v>
      </c>
      <c r="AO130">
        <v>0</v>
      </c>
      <c r="AP130">
        <v>0</v>
      </c>
      <c r="AQ130">
        <v>110</v>
      </c>
      <c r="AR130">
        <v>37.299999999999997</v>
      </c>
      <c r="AS130">
        <v>24.4</v>
      </c>
      <c r="AT130">
        <v>54.97</v>
      </c>
      <c r="AU130">
        <v>0</v>
      </c>
      <c r="AV130">
        <v>0</v>
      </c>
      <c r="AW130">
        <v>127.57</v>
      </c>
      <c r="AX130">
        <v>30.01</v>
      </c>
      <c r="AY130">
        <v>68.27</v>
      </c>
      <c r="AZ130">
        <v>0</v>
      </c>
      <c r="BA130">
        <v>37.299999999999997</v>
      </c>
      <c r="BB130">
        <v>0</v>
      </c>
      <c r="BC130">
        <v>28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500</v>
      </c>
      <c r="BN130">
        <v>1000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1000</v>
      </c>
      <c r="BV130">
        <v>480</v>
      </c>
      <c r="BW130" t="s">
        <v>188</v>
      </c>
      <c r="BX130">
        <v>0</v>
      </c>
      <c r="BY130" t="s">
        <v>2333</v>
      </c>
      <c r="CA130">
        <v>1000</v>
      </c>
      <c r="CB130">
        <v>37.299999999999997</v>
      </c>
      <c r="CC130">
        <v>181</v>
      </c>
      <c r="CD130" t="s">
        <v>188</v>
      </c>
      <c r="CE130" t="s">
        <v>2334</v>
      </c>
      <c r="CF130" t="s">
        <v>2335</v>
      </c>
      <c r="CG130" t="s">
        <v>2336</v>
      </c>
      <c r="CI130" t="s">
        <v>2310</v>
      </c>
      <c r="CK130">
        <v>10</v>
      </c>
      <c r="CL130" t="s">
        <v>2337</v>
      </c>
      <c r="CM130" t="s">
        <v>2338</v>
      </c>
      <c r="CN130" t="s">
        <v>602</v>
      </c>
      <c r="CO130">
        <v>0</v>
      </c>
      <c r="CP130" t="s">
        <v>188</v>
      </c>
      <c r="CQ130" t="s">
        <v>188</v>
      </c>
      <c r="CR130">
        <v>45</v>
      </c>
      <c r="CS130">
        <v>0</v>
      </c>
      <c r="CT130" t="s">
        <v>2339</v>
      </c>
      <c r="CX130">
        <v>0</v>
      </c>
      <c r="CY130">
        <v>0</v>
      </c>
      <c r="CZ130">
        <v>0</v>
      </c>
      <c r="DA130">
        <v>0</v>
      </c>
      <c r="DB130" t="s">
        <v>2340</v>
      </c>
      <c r="DC130">
        <v>0</v>
      </c>
      <c r="DD130">
        <v>0</v>
      </c>
      <c r="DI130" t="s">
        <v>2333</v>
      </c>
      <c r="DJ130" t="s">
        <v>2341</v>
      </c>
      <c r="DK130">
        <v>150</v>
      </c>
      <c r="DQ130" t="s">
        <v>653</v>
      </c>
      <c r="DR130">
        <v>110</v>
      </c>
      <c r="DS130">
        <v>0</v>
      </c>
      <c r="DT130">
        <v>0</v>
      </c>
      <c r="DU130">
        <v>0</v>
      </c>
      <c r="DV130">
        <v>0</v>
      </c>
      <c r="EW130" t="s">
        <v>188</v>
      </c>
      <c r="EX130" t="s">
        <v>188</v>
      </c>
      <c r="EY130" t="s">
        <v>188</v>
      </c>
      <c r="EZ130" t="s">
        <v>188</v>
      </c>
      <c r="FA130">
        <v>4</v>
      </c>
      <c r="FB130" t="s">
        <v>188</v>
      </c>
      <c r="FC130" t="s">
        <v>681</v>
      </c>
      <c r="FD130" t="s">
        <v>682</v>
      </c>
      <c r="FE130">
        <v>1111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 t="s">
        <v>188</v>
      </c>
      <c r="GF130" t="s">
        <v>188</v>
      </c>
      <c r="GG130" t="s">
        <v>188</v>
      </c>
      <c r="GH130" s="1">
        <v>44648</v>
      </c>
      <c r="GI130" t="s">
        <v>608</v>
      </c>
      <c r="GJ130" t="s">
        <v>609</v>
      </c>
      <c r="GK130" t="s">
        <v>610</v>
      </c>
      <c r="GL130">
        <v>0</v>
      </c>
      <c r="GM130">
        <v>0</v>
      </c>
      <c r="GN130">
        <v>203.2</v>
      </c>
      <c r="GO130">
        <v>152.4</v>
      </c>
      <c r="GP130">
        <v>0</v>
      </c>
      <c r="GQ130" t="s">
        <v>611</v>
      </c>
      <c r="GR130" s="1">
        <v>44965</v>
      </c>
      <c r="GV130" t="s">
        <v>188</v>
      </c>
      <c r="GW130" t="s">
        <v>188</v>
      </c>
      <c r="GX130" t="s">
        <v>188</v>
      </c>
      <c r="GY130" t="s">
        <v>188</v>
      </c>
      <c r="GZ130" t="s">
        <v>188</v>
      </c>
      <c r="HA130" t="s">
        <v>188</v>
      </c>
      <c r="HB130" t="s">
        <v>188</v>
      </c>
      <c r="HC130" t="s">
        <v>188</v>
      </c>
      <c r="HD130" t="s">
        <v>188</v>
      </c>
      <c r="HE130" t="s">
        <v>188</v>
      </c>
      <c r="HH130">
        <v>0</v>
      </c>
      <c r="HI130">
        <v>0</v>
      </c>
      <c r="HJ130">
        <v>37.21</v>
      </c>
      <c r="HK130">
        <v>27.36</v>
      </c>
      <c r="HL130">
        <v>75.86</v>
      </c>
      <c r="HN130" t="s">
        <v>188</v>
      </c>
      <c r="IS130">
        <v>0</v>
      </c>
      <c r="IT130">
        <v>0</v>
      </c>
      <c r="IU130">
        <v>0</v>
      </c>
      <c r="IV130">
        <v>0</v>
      </c>
      <c r="IW130">
        <v>0</v>
      </c>
      <c r="IX130" t="s">
        <v>2342</v>
      </c>
      <c r="IY130">
        <v>0</v>
      </c>
      <c r="IZ130">
        <v>0</v>
      </c>
      <c r="JA130">
        <v>0</v>
      </c>
      <c r="JB130">
        <v>0</v>
      </c>
      <c r="JC130" t="s">
        <v>613</v>
      </c>
      <c r="JD130" t="s">
        <v>1048</v>
      </c>
      <c r="JE130" t="s">
        <v>791</v>
      </c>
      <c r="JF130">
        <v>0</v>
      </c>
      <c r="JH130" t="s">
        <v>188</v>
      </c>
      <c r="JI130">
        <v>0</v>
      </c>
      <c r="JJ130" t="s">
        <v>188</v>
      </c>
      <c r="JK130">
        <v>83.44</v>
      </c>
      <c r="JL130">
        <v>0</v>
      </c>
      <c r="JM130">
        <v>1</v>
      </c>
    </row>
    <row r="131" spans="1:273" x14ac:dyDescent="0.3">
      <c r="A131" t="s">
        <v>2343</v>
      </c>
      <c r="B131" t="s">
        <v>302</v>
      </c>
      <c r="C131" t="s">
        <v>340</v>
      </c>
      <c r="D131" t="s">
        <v>590</v>
      </c>
      <c r="E131" t="s">
        <v>2304</v>
      </c>
      <c r="F131" t="s">
        <v>592</v>
      </c>
      <c r="G131">
        <v>5</v>
      </c>
      <c r="H131" t="s">
        <v>2344</v>
      </c>
      <c r="I131" t="s">
        <v>594</v>
      </c>
      <c r="J131" t="s">
        <v>993</v>
      </c>
      <c r="L131" t="s">
        <v>2306</v>
      </c>
      <c r="M131" t="s">
        <v>2345</v>
      </c>
      <c r="N131">
        <v>1</v>
      </c>
      <c r="O131">
        <v>1</v>
      </c>
      <c r="P131">
        <v>1</v>
      </c>
      <c r="Q131">
        <v>8</v>
      </c>
      <c r="R131">
        <v>2</v>
      </c>
      <c r="S131">
        <v>0</v>
      </c>
      <c r="T131">
        <v>0</v>
      </c>
      <c r="U131">
        <v>0</v>
      </c>
      <c r="V131" t="s">
        <v>188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 t="s">
        <v>596</v>
      </c>
      <c r="AI131">
        <v>1</v>
      </c>
      <c r="AJ131" t="s">
        <v>199</v>
      </c>
      <c r="AK131">
        <v>1</v>
      </c>
      <c r="AL131">
        <v>52</v>
      </c>
      <c r="AM131">
        <v>292</v>
      </c>
      <c r="AN131">
        <v>0</v>
      </c>
      <c r="AO131">
        <v>0</v>
      </c>
      <c r="AP131">
        <v>0</v>
      </c>
      <c r="AQ131">
        <v>110</v>
      </c>
      <c r="AR131">
        <v>40.799999999999997</v>
      </c>
      <c r="AS131">
        <v>26.05</v>
      </c>
      <c r="AT131">
        <v>63.96</v>
      </c>
      <c r="AU131">
        <v>0</v>
      </c>
      <c r="AV131">
        <v>0</v>
      </c>
      <c r="AW131">
        <v>221.03</v>
      </c>
      <c r="AX131">
        <v>30.52</v>
      </c>
      <c r="AY131">
        <v>103.4</v>
      </c>
      <c r="AZ131">
        <v>0</v>
      </c>
      <c r="BA131">
        <v>40.799999999999997</v>
      </c>
      <c r="BB131">
        <v>0</v>
      </c>
      <c r="BC131">
        <v>31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400</v>
      </c>
      <c r="BN131">
        <v>850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850</v>
      </c>
      <c r="BV131">
        <v>520</v>
      </c>
      <c r="BW131" t="s">
        <v>188</v>
      </c>
      <c r="BX131">
        <v>0</v>
      </c>
      <c r="BY131" t="s">
        <v>2345</v>
      </c>
      <c r="CA131">
        <v>850</v>
      </c>
      <c r="CB131">
        <v>40.799999999999997</v>
      </c>
      <c r="CC131">
        <v>292</v>
      </c>
      <c r="CD131" t="s">
        <v>188</v>
      </c>
      <c r="CE131" t="s">
        <v>2346</v>
      </c>
      <c r="CF131" t="s">
        <v>2347</v>
      </c>
      <c r="CG131" t="s">
        <v>2348</v>
      </c>
      <c r="CI131" t="s">
        <v>2324</v>
      </c>
      <c r="CK131">
        <v>25</v>
      </c>
      <c r="CL131" t="s">
        <v>2349</v>
      </c>
      <c r="CM131" t="s">
        <v>2350</v>
      </c>
      <c r="CN131" t="s">
        <v>602</v>
      </c>
      <c r="CO131">
        <v>0</v>
      </c>
      <c r="CP131" t="s">
        <v>188</v>
      </c>
      <c r="CQ131" t="s">
        <v>188</v>
      </c>
      <c r="CR131">
        <v>65</v>
      </c>
      <c r="CS131">
        <v>0</v>
      </c>
      <c r="CT131" t="s">
        <v>2351</v>
      </c>
      <c r="CX131">
        <v>0</v>
      </c>
      <c r="CY131">
        <v>0</v>
      </c>
      <c r="CZ131">
        <v>0</v>
      </c>
      <c r="DA131">
        <v>0</v>
      </c>
      <c r="DB131" t="s">
        <v>2352</v>
      </c>
      <c r="DC131">
        <v>0</v>
      </c>
      <c r="DD131">
        <v>0</v>
      </c>
      <c r="DI131" t="s">
        <v>2345</v>
      </c>
      <c r="DJ131" t="s">
        <v>2341</v>
      </c>
      <c r="DK131">
        <v>200</v>
      </c>
      <c r="DQ131" t="s">
        <v>653</v>
      </c>
      <c r="DR131">
        <v>110</v>
      </c>
      <c r="DS131">
        <v>0</v>
      </c>
      <c r="DT131">
        <v>0</v>
      </c>
      <c r="DU131">
        <v>0</v>
      </c>
      <c r="DV131">
        <v>0</v>
      </c>
      <c r="EW131" t="s">
        <v>188</v>
      </c>
      <c r="EX131" t="s">
        <v>188</v>
      </c>
      <c r="EY131" t="s">
        <v>188</v>
      </c>
      <c r="EZ131" t="s">
        <v>188</v>
      </c>
      <c r="FA131">
        <v>4</v>
      </c>
      <c r="FB131" t="s">
        <v>188</v>
      </c>
      <c r="FE131">
        <v>1.1111111111111099E+23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 t="s">
        <v>188</v>
      </c>
      <c r="GF131" t="s">
        <v>188</v>
      </c>
      <c r="GG131" t="s">
        <v>188</v>
      </c>
      <c r="GH131" s="1">
        <v>44648</v>
      </c>
      <c r="GI131" t="s">
        <v>608</v>
      </c>
      <c r="GJ131" t="s">
        <v>609</v>
      </c>
      <c r="GK131" t="s">
        <v>610</v>
      </c>
      <c r="GL131">
        <v>0</v>
      </c>
      <c r="GM131">
        <v>0</v>
      </c>
      <c r="GN131">
        <v>254</v>
      </c>
      <c r="GO131">
        <v>203.2</v>
      </c>
      <c r="GP131">
        <v>0</v>
      </c>
      <c r="GQ131" t="s">
        <v>611</v>
      </c>
      <c r="GR131" s="1">
        <v>44971</v>
      </c>
      <c r="GV131" t="s">
        <v>188</v>
      </c>
      <c r="GW131" t="s">
        <v>188</v>
      </c>
      <c r="GX131" t="s">
        <v>188</v>
      </c>
      <c r="GY131" t="s">
        <v>188</v>
      </c>
      <c r="GZ131" t="s">
        <v>188</v>
      </c>
      <c r="HA131" t="s">
        <v>188</v>
      </c>
      <c r="HB131" t="s">
        <v>188</v>
      </c>
      <c r="HC131" t="s">
        <v>188</v>
      </c>
      <c r="HD131" t="s">
        <v>188</v>
      </c>
      <c r="HE131" t="s">
        <v>188</v>
      </c>
      <c r="HH131">
        <v>0</v>
      </c>
      <c r="HI131">
        <v>0</v>
      </c>
      <c r="HJ131">
        <v>39.26</v>
      </c>
      <c r="HK131">
        <v>27.71</v>
      </c>
      <c r="HL131">
        <v>114.34</v>
      </c>
      <c r="HN131" t="s">
        <v>188</v>
      </c>
      <c r="IS131">
        <v>0</v>
      </c>
      <c r="IT131">
        <v>0</v>
      </c>
      <c r="IU131">
        <v>0</v>
      </c>
      <c r="IV131">
        <v>0</v>
      </c>
      <c r="IW131">
        <v>0</v>
      </c>
      <c r="IX131" t="s">
        <v>2353</v>
      </c>
      <c r="IY131">
        <v>0</v>
      </c>
      <c r="IZ131">
        <v>0</v>
      </c>
      <c r="JA131">
        <v>0</v>
      </c>
      <c r="JB131">
        <v>0</v>
      </c>
      <c r="JC131" t="s">
        <v>613</v>
      </c>
      <c r="JD131" t="s">
        <v>2354</v>
      </c>
      <c r="JE131" t="s">
        <v>791</v>
      </c>
      <c r="JF131">
        <v>0</v>
      </c>
      <c r="JH131" t="s">
        <v>188</v>
      </c>
      <c r="JI131">
        <v>0</v>
      </c>
      <c r="JJ131" t="s">
        <v>188</v>
      </c>
      <c r="JK131">
        <v>120.38</v>
      </c>
      <c r="JL131">
        <v>0</v>
      </c>
      <c r="JM131">
        <v>1</v>
      </c>
    </row>
    <row r="132" spans="1:273" x14ac:dyDescent="0.3">
      <c r="A132" t="s">
        <v>2355</v>
      </c>
      <c r="B132" t="s">
        <v>302</v>
      </c>
      <c r="C132" t="s">
        <v>340</v>
      </c>
      <c r="D132" t="s">
        <v>590</v>
      </c>
      <c r="E132" t="s">
        <v>2304</v>
      </c>
      <c r="F132" t="s">
        <v>592</v>
      </c>
      <c r="G132">
        <v>5</v>
      </c>
      <c r="H132" t="s">
        <v>2356</v>
      </c>
      <c r="I132" t="s">
        <v>594</v>
      </c>
      <c r="J132" t="s">
        <v>993</v>
      </c>
      <c r="L132" t="s">
        <v>2306</v>
      </c>
      <c r="M132" t="s">
        <v>2357</v>
      </c>
      <c r="N132">
        <v>10</v>
      </c>
      <c r="O132">
        <v>10</v>
      </c>
      <c r="P132">
        <v>1</v>
      </c>
      <c r="Q132">
        <v>7</v>
      </c>
      <c r="R132">
        <v>2</v>
      </c>
      <c r="S132">
        <v>0</v>
      </c>
      <c r="T132">
        <v>0</v>
      </c>
      <c r="U132">
        <v>0</v>
      </c>
      <c r="V132" t="s">
        <v>188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 t="s">
        <v>596</v>
      </c>
      <c r="AI132">
        <v>1</v>
      </c>
      <c r="AJ132" t="s">
        <v>199</v>
      </c>
      <c r="AK132">
        <v>1</v>
      </c>
      <c r="AL132">
        <v>2.8</v>
      </c>
      <c r="AM132">
        <v>20.7</v>
      </c>
      <c r="AN132">
        <v>0</v>
      </c>
      <c r="AO132">
        <v>0</v>
      </c>
      <c r="AP132">
        <v>0</v>
      </c>
      <c r="AQ132">
        <v>15</v>
      </c>
      <c r="AR132">
        <v>46.8</v>
      </c>
      <c r="AS132">
        <v>27</v>
      </c>
      <c r="AT132">
        <v>44.62</v>
      </c>
      <c r="AU132">
        <v>0</v>
      </c>
      <c r="AV132">
        <v>0</v>
      </c>
      <c r="AW132">
        <v>14.31</v>
      </c>
      <c r="AX132">
        <v>34.93</v>
      </c>
      <c r="AY132">
        <v>10.98</v>
      </c>
      <c r="AZ132">
        <v>0</v>
      </c>
      <c r="BA132">
        <v>46.8</v>
      </c>
      <c r="BB132">
        <v>0</v>
      </c>
      <c r="BC132">
        <v>23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1000</v>
      </c>
      <c r="BN132">
        <v>2800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2800</v>
      </c>
      <c r="BV132">
        <v>188</v>
      </c>
      <c r="BW132" t="s">
        <v>188</v>
      </c>
      <c r="BX132">
        <v>0</v>
      </c>
      <c r="BY132" t="s">
        <v>2358</v>
      </c>
      <c r="CA132" t="s">
        <v>2359</v>
      </c>
      <c r="CB132" t="s">
        <v>2360</v>
      </c>
      <c r="CC132" t="s">
        <v>2361</v>
      </c>
      <c r="CD132" t="s">
        <v>188</v>
      </c>
      <c r="CE132" t="s">
        <v>2362</v>
      </c>
      <c r="CF132" t="s">
        <v>2363</v>
      </c>
      <c r="CG132" t="s">
        <v>2364</v>
      </c>
      <c r="CI132" t="s">
        <v>2365</v>
      </c>
      <c r="CK132" t="s">
        <v>2366</v>
      </c>
      <c r="CL132" t="s">
        <v>2367</v>
      </c>
      <c r="CM132" t="s">
        <v>2368</v>
      </c>
      <c r="CN132" t="s">
        <v>2369</v>
      </c>
      <c r="CO132" t="s">
        <v>2370</v>
      </c>
      <c r="CP132" t="s">
        <v>188</v>
      </c>
      <c r="CQ132" t="s">
        <v>188</v>
      </c>
      <c r="CR132">
        <v>12</v>
      </c>
      <c r="CS132">
        <v>0</v>
      </c>
      <c r="CT132" t="s">
        <v>2371</v>
      </c>
      <c r="CX132">
        <v>0</v>
      </c>
      <c r="CY132">
        <v>0</v>
      </c>
      <c r="CZ132">
        <v>0</v>
      </c>
      <c r="DA132">
        <v>0</v>
      </c>
      <c r="DB132" t="s">
        <v>2372</v>
      </c>
      <c r="DC132">
        <v>0</v>
      </c>
      <c r="DD132">
        <v>0</v>
      </c>
      <c r="DI132" t="s">
        <v>2357</v>
      </c>
      <c r="DJ132" t="s">
        <v>2373</v>
      </c>
      <c r="DK132">
        <v>40</v>
      </c>
      <c r="DQ132" t="s">
        <v>2374</v>
      </c>
      <c r="DR132">
        <v>15</v>
      </c>
      <c r="DS132">
        <v>0</v>
      </c>
      <c r="DT132">
        <v>0</v>
      </c>
      <c r="DU132">
        <v>0</v>
      </c>
      <c r="DV132">
        <v>0</v>
      </c>
      <c r="EW132" t="s">
        <v>188</v>
      </c>
      <c r="EX132" t="s">
        <v>188</v>
      </c>
      <c r="EY132" t="s">
        <v>188</v>
      </c>
      <c r="EZ132" t="s">
        <v>188</v>
      </c>
      <c r="FA132">
        <v>4</v>
      </c>
      <c r="FB132" t="s">
        <v>188</v>
      </c>
      <c r="FC132" t="s">
        <v>681</v>
      </c>
      <c r="FD132" t="s">
        <v>682</v>
      </c>
      <c r="FE132">
        <v>1.11111111111111E+39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 t="s">
        <v>188</v>
      </c>
      <c r="GF132" t="s">
        <v>188</v>
      </c>
      <c r="GG132" t="s">
        <v>188</v>
      </c>
      <c r="GH132" s="1">
        <v>44648</v>
      </c>
      <c r="GI132" t="s">
        <v>608</v>
      </c>
      <c r="GJ132" t="s">
        <v>609</v>
      </c>
      <c r="GK132" t="s">
        <v>610</v>
      </c>
      <c r="GL132">
        <v>0</v>
      </c>
      <c r="GM132">
        <v>0</v>
      </c>
      <c r="GN132">
        <v>50.8</v>
      </c>
      <c r="GO132">
        <v>38</v>
      </c>
      <c r="GP132">
        <v>0</v>
      </c>
      <c r="GQ132" t="s">
        <v>611</v>
      </c>
      <c r="GR132" s="1">
        <v>44872</v>
      </c>
      <c r="GV132" t="s">
        <v>188</v>
      </c>
      <c r="GW132" t="s">
        <v>188</v>
      </c>
      <c r="GX132" t="s">
        <v>188</v>
      </c>
      <c r="GY132" t="s">
        <v>188</v>
      </c>
      <c r="GZ132" t="s">
        <v>188</v>
      </c>
      <c r="HA132" t="s">
        <v>188</v>
      </c>
      <c r="HB132" t="s">
        <v>188</v>
      </c>
      <c r="HC132" t="s">
        <v>188</v>
      </c>
      <c r="HD132" t="s">
        <v>188</v>
      </c>
      <c r="HE132" t="s">
        <v>188</v>
      </c>
      <c r="HH132">
        <v>0</v>
      </c>
      <c r="HI132">
        <v>0</v>
      </c>
      <c r="HJ132">
        <v>46.12</v>
      </c>
      <c r="HK132">
        <v>31.39</v>
      </c>
      <c r="HL132">
        <v>12.07</v>
      </c>
      <c r="HN132" t="s">
        <v>188</v>
      </c>
      <c r="IS132">
        <v>0</v>
      </c>
      <c r="IT132">
        <v>0</v>
      </c>
      <c r="IU132">
        <v>0</v>
      </c>
      <c r="IV132">
        <v>0</v>
      </c>
      <c r="IW132">
        <v>0</v>
      </c>
      <c r="IX132" t="s">
        <v>1452</v>
      </c>
      <c r="IY132">
        <v>0</v>
      </c>
      <c r="IZ132">
        <v>0</v>
      </c>
      <c r="JA132">
        <v>0</v>
      </c>
      <c r="JB132">
        <v>0</v>
      </c>
      <c r="JC132" t="s">
        <v>613</v>
      </c>
      <c r="JD132" t="s">
        <v>681</v>
      </c>
      <c r="JE132" t="s">
        <v>2375</v>
      </c>
      <c r="JF132">
        <v>0</v>
      </c>
      <c r="JG132" t="s">
        <v>2376</v>
      </c>
      <c r="JH132" t="s">
        <v>188</v>
      </c>
      <c r="JI132">
        <v>0</v>
      </c>
      <c r="JJ132" t="s">
        <v>188</v>
      </c>
      <c r="JK132">
        <v>13.7</v>
      </c>
      <c r="JL132">
        <v>0</v>
      </c>
      <c r="JM132">
        <v>10</v>
      </c>
    </row>
    <row r="133" spans="1:273" x14ac:dyDescent="0.3">
      <c r="A133" t="s">
        <v>2377</v>
      </c>
      <c r="B133" t="s">
        <v>302</v>
      </c>
      <c r="C133" t="s">
        <v>340</v>
      </c>
      <c r="D133" t="s">
        <v>590</v>
      </c>
      <c r="E133" t="s">
        <v>2304</v>
      </c>
      <c r="F133" t="s">
        <v>659</v>
      </c>
      <c r="G133">
        <v>5</v>
      </c>
      <c r="H133" t="s">
        <v>2378</v>
      </c>
      <c r="I133" t="s">
        <v>594</v>
      </c>
      <c r="J133" t="s">
        <v>993</v>
      </c>
      <c r="L133" t="s">
        <v>2319</v>
      </c>
      <c r="M133" t="s">
        <v>2379</v>
      </c>
      <c r="N133">
        <v>1</v>
      </c>
      <c r="O133">
        <v>1</v>
      </c>
      <c r="P133">
        <v>1</v>
      </c>
      <c r="Q133">
        <v>8</v>
      </c>
      <c r="R133">
        <v>2</v>
      </c>
      <c r="S133">
        <v>0</v>
      </c>
      <c r="T133">
        <v>0</v>
      </c>
      <c r="U133">
        <v>0</v>
      </c>
      <c r="V133" t="s">
        <v>188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 t="s">
        <v>596</v>
      </c>
      <c r="AI133">
        <v>1</v>
      </c>
      <c r="AJ133" t="s">
        <v>199</v>
      </c>
      <c r="AK133">
        <v>1</v>
      </c>
      <c r="AL133">
        <v>2.9</v>
      </c>
      <c r="AM133">
        <v>15.6</v>
      </c>
      <c r="AN133">
        <v>0</v>
      </c>
      <c r="AO133">
        <v>0</v>
      </c>
      <c r="AP133">
        <v>0</v>
      </c>
      <c r="AQ133">
        <v>15</v>
      </c>
      <c r="AR133">
        <v>40.6</v>
      </c>
      <c r="AS133">
        <v>22.2</v>
      </c>
      <c r="AT133">
        <v>40.299999999999997</v>
      </c>
      <c r="AU133">
        <v>0</v>
      </c>
      <c r="AV133">
        <v>0</v>
      </c>
      <c r="AW133">
        <v>11.2</v>
      </c>
      <c r="AX133">
        <v>29.81</v>
      </c>
      <c r="AY133">
        <v>8.1199999999999992</v>
      </c>
      <c r="AZ133">
        <v>0</v>
      </c>
      <c r="BA133">
        <v>40.6</v>
      </c>
      <c r="BB133">
        <v>0</v>
      </c>
      <c r="BC133">
        <v>22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1200</v>
      </c>
      <c r="BN133">
        <v>2600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2600</v>
      </c>
      <c r="BV133">
        <v>188</v>
      </c>
      <c r="BW133" t="s">
        <v>188</v>
      </c>
      <c r="BX133">
        <v>0</v>
      </c>
      <c r="BY133" t="s">
        <v>2379</v>
      </c>
      <c r="CA133">
        <v>2600</v>
      </c>
      <c r="CB133">
        <v>40.6</v>
      </c>
      <c r="CC133">
        <v>15.6</v>
      </c>
      <c r="CD133" t="s">
        <v>188</v>
      </c>
      <c r="CE133" t="s">
        <v>2380</v>
      </c>
      <c r="CF133" t="s">
        <v>2381</v>
      </c>
      <c r="CG133" t="s">
        <v>2382</v>
      </c>
      <c r="CI133" t="s">
        <v>2324</v>
      </c>
      <c r="CK133">
        <v>1</v>
      </c>
      <c r="CL133" t="s">
        <v>2383</v>
      </c>
      <c r="CM133" t="s">
        <v>2384</v>
      </c>
      <c r="CN133" t="s">
        <v>602</v>
      </c>
      <c r="CO133">
        <v>0</v>
      </c>
      <c r="CP133" t="s">
        <v>188</v>
      </c>
      <c r="CQ133" t="s">
        <v>188</v>
      </c>
      <c r="CR133">
        <v>12</v>
      </c>
      <c r="CS133">
        <v>0</v>
      </c>
      <c r="CT133" t="s">
        <v>2385</v>
      </c>
      <c r="CX133">
        <v>0</v>
      </c>
      <c r="CY133">
        <v>0</v>
      </c>
      <c r="CZ133">
        <v>0</v>
      </c>
      <c r="DA133">
        <v>0</v>
      </c>
      <c r="DB133" t="s">
        <v>2386</v>
      </c>
      <c r="DC133">
        <v>0</v>
      </c>
      <c r="DD133">
        <v>0</v>
      </c>
      <c r="DI133" t="s">
        <v>2379</v>
      </c>
      <c r="DJ133" t="s">
        <v>2387</v>
      </c>
      <c r="DK133">
        <v>40</v>
      </c>
      <c r="DQ133" t="s">
        <v>2374</v>
      </c>
      <c r="DR133">
        <v>15</v>
      </c>
      <c r="DS133">
        <v>0</v>
      </c>
      <c r="DT133">
        <v>0</v>
      </c>
      <c r="DU133">
        <v>0</v>
      </c>
      <c r="DV133">
        <v>0</v>
      </c>
      <c r="EW133" t="s">
        <v>188</v>
      </c>
      <c r="EX133" t="s">
        <v>188</v>
      </c>
      <c r="EY133" t="s">
        <v>188</v>
      </c>
      <c r="EZ133" t="s">
        <v>188</v>
      </c>
      <c r="FA133">
        <v>4</v>
      </c>
      <c r="FB133" t="s">
        <v>188</v>
      </c>
      <c r="FE133">
        <v>1.1111111111111101E+31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 t="s">
        <v>188</v>
      </c>
      <c r="GF133" t="s">
        <v>188</v>
      </c>
      <c r="GG133" t="s">
        <v>188</v>
      </c>
      <c r="GH133" s="1">
        <v>44648</v>
      </c>
      <c r="GI133" t="s">
        <v>608</v>
      </c>
      <c r="GJ133" t="s">
        <v>609</v>
      </c>
      <c r="GK133" t="s">
        <v>610</v>
      </c>
      <c r="GL133">
        <v>0</v>
      </c>
      <c r="GM133">
        <v>0</v>
      </c>
      <c r="GN133">
        <v>50.8</v>
      </c>
      <c r="GO133">
        <v>38</v>
      </c>
      <c r="GP133">
        <v>0</v>
      </c>
      <c r="GQ133" t="s">
        <v>611</v>
      </c>
      <c r="GR133" s="1">
        <v>44872</v>
      </c>
      <c r="GV133" t="s">
        <v>188</v>
      </c>
      <c r="GW133" t="s">
        <v>188</v>
      </c>
      <c r="GX133" t="s">
        <v>188</v>
      </c>
      <c r="GY133" t="s">
        <v>188</v>
      </c>
      <c r="GZ133" t="s">
        <v>188</v>
      </c>
      <c r="HA133" t="s">
        <v>188</v>
      </c>
      <c r="HB133" t="s">
        <v>188</v>
      </c>
      <c r="HC133" t="s">
        <v>188</v>
      </c>
      <c r="HD133" t="s">
        <v>188</v>
      </c>
      <c r="HE133" t="s">
        <v>188</v>
      </c>
      <c r="HH133">
        <v>0</v>
      </c>
      <c r="HI133">
        <v>0</v>
      </c>
      <c r="HJ133">
        <v>39.31</v>
      </c>
      <c r="HK133">
        <v>26.09</v>
      </c>
      <c r="HL133">
        <v>8.7899999999999991</v>
      </c>
      <c r="HN133" t="s">
        <v>188</v>
      </c>
      <c r="IS133">
        <v>0</v>
      </c>
      <c r="IT133">
        <v>0</v>
      </c>
      <c r="IU133">
        <v>0</v>
      </c>
      <c r="IV133">
        <v>0</v>
      </c>
      <c r="IW133">
        <v>0</v>
      </c>
      <c r="IX133" t="s">
        <v>2388</v>
      </c>
      <c r="IY133">
        <v>0</v>
      </c>
      <c r="IZ133">
        <v>0</v>
      </c>
      <c r="JA133">
        <v>0</v>
      </c>
      <c r="JB133">
        <v>0</v>
      </c>
      <c r="JC133" t="s">
        <v>613</v>
      </c>
      <c r="JD133" t="s">
        <v>2389</v>
      </c>
      <c r="JE133" t="s">
        <v>791</v>
      </c>
      <c r="JF133">
        <v>0</v>
      </c>
      <c r="JH133" t="s">
        <v>188</v>
      </c>
      <c r="JI133">
        <v>0</v>
      </c>
      <c r="JJ133" t="s">
        <v>188</v>
      </c>
      <c r="JK133">
        <v>9.6999999999999993</v>
      </c>
      <c r="JL133">
        <v>0</v>
      </c>
      <c r="JM133">
        <v>1</v>
      </c>
    </row>
    <row r="134" spans="1:273" x14ac:dyDescent="0.3">
      <c r="A134" t="s">
        <v>2390</v>
      </c>
      <c r="B134" t="s">
        <v>302</v>
      </c>
      <c r="C134" t="s">
        <v>340</v>
      </c>
      <c r="D134" t="s">
        <v>590</v>
      </c>
      <c r="E134" t="s">
        <v>2304</v>
      </c>
      <c r="F134" t="s">
        <v>592</v>
      </c>
      <c r="G134">
        <v>5</v>
      </c>
      <c r="H134" t="s">
        <v>2391</v>
      </c>
      <c r="I134" t="s">
        <v>594</v>
      </c>
      <c r="J134" t="s">
        <v>993</v>
      </c>
      <c r="L134" t="s">
        <v>2306</v>
      </c>
      <c r="M134" t="s">
        <v>2392</v>
      </c>
      <c r="N134">
        <v>1</v>
      </c>
      <c r="O134">
        <v>1</v>
      </c>
      <c r="P134">
        <v>1</v>
      </c>
      <c r="Q134">
        <v>10</v>
      </c>
      <c r="R134">
        <v>2</v>
      </c>
      <c r="S134">
        <v>0</v>
      </c>
      <c r="T134">
        <v>0</v>
      </c>
      <c r="U134">
        <v>0</v>
      </c>
      <c r="V134" t="s">
        <v>188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0</v>
      </c>
      <c r="AH134" t="s">
        <v>596</v>
      </c>
      <c r="AI134">
        <v>1</v>
      </c>
      <c r="AJ134" t="s">
        <v>199</v>
      </c>
      <c r="AK134">
        <v>1</v>
      </c>
      <c r="AL134">
        <v>7.1</v>
      </c>
      <c r="AM134">
        <v>40.1</v>
      </c>
      <c r="AN134">
        <v>0</v>
      </c>
      <c r="AO134">
        <v>0</v>
      </c>
      <c r="AP134">
        <v>0</v>
      </c>
      <c r="AQ134">
        <v>30</v>
      </c>
      <c r="AR134">
        <v>48.8</v>
      </c>
      <c r="AS134">
        <v>32.5</v>
      </c>
      <c r="AT134">
        <v>50.97</v>
      </c>
      <c r="AU134">
        <v>0</v>
      </c>
      <c r="AV134">
        <v>0</v>
      </c>
      <c r="AW134">
        <v>29.83</v>
      </c>
      <c r="AX134">
        <v>38.65</v>
      </c>
      <c r="AY134">
        <v>22.18</v>
      </c>
      <c r="AZ134">
        <v>0</v>
      </c>
      <c r="BA134">
        <v>48.8</v>
      </c>
      <c r="BB134">
        <v>0</v>
      </c>
      <c r="BC134">
        <v>21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700</v>
      </c>
      <c r="BN134">
        <v>1900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1850</v>
      </c>
      <c r="BV134">
        <v>280</v>
      </c>
      <c r="BW134" t="s">
        <v>188</v>
      </c>
      <c r="BX134">
        <v>0</v>
      </c>
      <c r="BY134" t="s">
        <v>2392</v>
      </c>
      <c r="CA134">
        <v>1850</v>
      </c>
      <c r="CB134">
        <v>48.8</v>
      </c>
      <c r="CC134">
        <v>40.1</v>
      </c>
      <c r="CD134" t="s">
        <v>188</v>
      </c>
      <c r="CE134" t="s">
        <v>2393</v>
      </c>
      <c r="CF134" t="s">
        <v>2394</v>
      </c>
      <c r="CG134" t="s">
        <v>2395</v>
      </c>
      <c r="CI134" t="s">
        <v>2064</v>
      </c>
      <c r="CK134">
        <v>5</v>
      </c>
      <c r="CL134" t="s">
        <v>2396</v>
      </c>
      <c r="CM134" t="s">
        <v>2397</v>
      </c>
      <c r="CN134" t="s">
        <v>602</v>
      </c>
      <c r="CO134">
        <v>0</v>
      </c>
      <c r="CP134" t="s">
        <v>188</v>
      </c>
      <c r="CQ134" t="s">
        <v>188</v>
      </c>
      <c r="CR134">
        <v>15</v>
      </c>
      <c r="CS134">
        <v>0</v>
      </c>
      <c r="CT134" t="s">
        <v>2398</v>
      </c>
      <c r="CX134">
        <v>0</v>
      </c>
      <c r="CY134">
        <v>0</v>
      </c>
      <c r="CZ134">
        <v>0</v>
      </c>
      <c r="DA134">
        <v>0</v>
      </c>
      <c r="DB134" t="s">
        <v>2399</v>
      </c>
      <c r="DC134">
        <v>0</v>
      </c>
      <c r="DD134">
        <v>0</v>
      </c>
      <c r="DI134" t="s">
        <v>2400</v>
      </c>
      <c r="DJ134" t="s">
        <v>2401</v>
      </c>
      <c r="DK134">
        <v>65</v>
      </c>
      <c r="DQ134" t="s">
        <v>607</v>
      </c>
      <c r="DR134">
        <v>30</v>
      </c>
      <c r="DS134">
        <v>0</v>
      </c>
      <c r="DT134">
        <v>0</v>
      </c>
      <c r="DU134">
        <v>0</v>
      </c>
      <c r="DV134">
        <v>0</v>
      </c>
      <c r="EW134" t="s">
        <v>188</v>
      </c>
      <c r="EX134" t="s">
        <v>188</v>
      </c>
      <c r="EY134" t="s">
        <v>188</v>
      </c>
      <c r="EZ134" t="s">
        <v>188</v>
      </c>
      <c r="FA134">
        <v>4</v>
      </c>
      <c r="FB134" t="s">
        <v>188</v>
      </c>
      <c r="FE134">
        <v>1.11111111111111E+27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 t="s">
        <v>188</v>
      </c>
      <c r="GF134" t="s">
        <v>188</v>
      </c>
      <c r="GG134" t="s">
        <v>188</v>
      </c>
      <c r="GH134" s="1">
        <v>44648</v>
      </c>
      <c r="GI134" t="s">
        <v>608</v>
      </c>
      <c r="GJ134" t="s">
        <v>609</v>
      </c>
      <c r="GK134" t="s">
        <v>610</v>
      </c>
      <c r="GL134">
        <v>0</v>
      </c>
      <c r="GM134">
        <v>0</v>
      </c>
      <c r="GN134">
        <v>88.9</v>
      </c>
      <c r="GO134">
        <v>73</v>
      </c>
      <c r="GP134">
        <v>0</v>
      </c>
      <c r="GQ134" t="s">
        <v>611</v>
      </c>
      <c r="GR134" s="1">
        <v>44965</v>
      </c>
      <c r="GV134" t="s">
        <v>188</v>
      </c>
      <c r="GW134" t="s">
        <v>188</v>
      </c>
      <c r="GX134" t="s">
        <v>188</v>
      </c>
      <c r="GY134" t="s">
        <v>188</v>
      </c>
      <c r="GZ134" t="s">
        <v>188</v>
      </c>
      <c r="HA134" t="s">
        <v>188</v>
      </c>
      <c r="HB134" t="s">
        <v>188</v>
      </c>
      <c r="HC134" t="s">
        <v>188</v>
      </c>
      <c r="HD134" t="s">
        <v>188</v>
      </c>
      <c r="HE134" t="s">
        <v>188</v>
      </c>
      <c r="HH134">
        <v>0</v>
      </c>
      <c r="HI134">
        <v>0</v>
      </c>
      <c r="HJ134">
        <v>48.54</v>
      </c>
      <c r="HK134">
        <v>35.049999999999997</v>
      </c>
      <c r="HL134">
        <v>24.65</v>
      </c>
      <c r="HN134" t="s">
        <v>188</v>
      </c>
      <c r="IS134">
        <v>0</v>
      </c>
      <c r="IT134">
        <v>0</v>
      </c>
      <c r="IU134">
        <v>0</v>
      </c>
      <c r="IV134">
        <v>0</v>
      </c>
      <c r="IW134">
        <v>0</v>
      </c>
      <c r="IX134" t="s">
        <v>2402</v>
      </c>
      <c r="IY134">
        <v>0</v>
      </c>
      <c r="IZ134">
        <v>0</v>
      </c>
      <c r="JA134">
        <v>0</v>
      </c>
      <c r="JB134">
        <v>0</v>
      </c>
      <c r="JC134" t="s">
        <v>613</v>
      </c>
      <c r="JD134" t="s">
        <v>2403</v>
      </c>
      <c r="JE134" t="s">
        <v>791</v>
      </c>
      <c r="JF134">
        <v>0</v>
      </c>
      <c r="JH134" t="s">
        <v>188</v>
      </c>
      <c r="JI134">
        <v>0</v>
      </c>
      <c r="JJ134" t="s">
        <v>188</v>
      </c>
      <c r="JK134">
        <v>26.62</v>
      </c>
      <c r="JL134">
        <v>0</v>
      </c>
      <c r="JM134">
        <v>1</v>
      </c>
    </row>
    <row r="135" spans="1:273" x14ac:dyDescent="0.3">
      <c r="A135" t="s">
        <v>2404</v>
      </c>
      <c r="B135" t="s">
        <v>302</v>
      </c>
      <c r="C135" t="s">
        <v>340</v>
      </c>
      <c r="D135" t="s">
        <v>590</v>
      </c>
      <c r="E135" t="s">
        <v>2304</v>
      </c>
      <c r="F135" t="s">
        <v>659</v>
      </c>
      <c r="G135">
        <v>5</v>
      </c>
      <c r="H135" t="s">
        <v>2405</v>
      </c>
      <c r="I135" t="s">
        <v>594</v>
      </c>
      <c r="J135" t="s">
        <v>993</v>
      </c>
      <c r="L135" t="s">
        <v>2319</v>
      </c>
      <c r="M135" t="s">
        <v>2406</v>
      </c>
      <c r="N135">
        <v>7</v>
      </c>
      <c r="O135">
        <v>7</v>
      </c>
      <c r="P135">
        <v>1</v>
      </c>
      <c r="Q135">
        <v>9</v>
      </c>
      <c r="R135">
        <v>2</v>
      </c>
      <c r="S135">
        <v>0</v>
      </c>
      <c r="T135">
        <v>0</v>
      </c>
      <c r="U135">
        <v>0</v>
      </c>
      <c r="V135" t="s">
        <v>188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 t="s">
        <v>596</v>
      </c>
      <c r="AI135">
        <v>1</v>
      </c>
      <c r="AJ135" t="s">
        <v>199</v>
      </c>
      <c r="AK135">
        <v>1</v>
      </c>
      <c r="AL135">
        <v>6.2</v>
      </c>
      <c r="AM135">
        <v>40.5</v>
      </c>
      <c r="AN135">
        <v>0</v>
      </c>
      <c r="AO135">
        <v>0</v>
      </c>
      <c r="AP135">
        <v>0</v>
      </c>
      <c r="AQ135">
        <v>30</v>
      </c>
      <c r="AR135">
        <v>49.8</v>
      </c>
      <c r="AS135">
        <v>31.7</v>
      </c>
      <c r="AT135">
        <v>50.6</v>
      </c>
      <c r="AU135">
        <v>0</v>
      </c>
      <c r="AV135">
        <v>0</v>
      </c>
      <c r="AW135">
        <v>29.76</v>
      </c>
      <c r="AX135">
        <v>40.799999999999997</v>
      </c>
      <c r="AY135">
        <v>23.52</v>
      </c>
      <c r="AZ135">
        <v>0</v>
      </c>
      <c r="BA135">
        <v>49.8</v>
      </c>
      <c r="BB135">
        <v>0</v>
      </c>
      <c r="BC135">
        <v>20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700</v>
      </c>
      <c r="BN135">
        <v>1900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1900</v>
      </c>
      <c r="BV135">
        <v>280</v>
      </c>
      <c r="BW135" t="s">
        <v>188</v>
      </c>
      <c r="BX135">
        <v>0</v>
      </c>
      <c r="BY135" t="s">
        <v>2407</v>
      </c>
      <c r="CA135" t="s">
        <v>2408</v>
      </c>
      <c r="CB135" t="s">
        <v>2409</v>
      </c>
      <c r="CC135" t="s">
        <v>2410</v>
      </c>
      <c r="CD135" t="s">
        <v>188</v>
      </c>
      <c r="CE135" t="s">
        <v>2411</v>
      </c>
      <c r="CF135" t="s">
        <v>2412</v>
      </c>
      <c r="CG135" t="s">
        <v>2413</v>
      </c>
      <c r="CI135" t="s">
        <v>2414</v>
      </c>
      <c r="CK135" t="s">
        <v>2415</v>
      </c>
      <c r="CL135" t="s">
        <v>2416</v>
      </c>
      <c r="CM135" t="s">
        <v>2417</v>
      </c>
      <c r="CN135" t="s">
        <v>2418</v>
      </c>
      <c r="CO135" t="s">
        <v>2168</v>
      </c>
      <c r="CP135" t="s">
        <v>188</v>
      </c>
      <c r="CQ135" t="s">
        <v>188</v>
      </c>
      <c r="CR135">
        <v>15</v>
      </c>
      <c r="CS135">
        <v>0</v>
      </c>
      <c r="CT135" t="s">
        <v>2419</v>
      </c>
      <c r="CX135">
        <v>0</v>
      </c>
      <c r="CY135">
        <v>0</v>
      </c>
      <c r="CZ135">
        <v>0</v>
      </c>
      <c r="DA135">
        <v>0</v>
      </c>
      <c r="DB135" t="s">
        <v>2420</v>
      </c>
      <c r="DC135">
        <v>0</v>
      </c>
      <c r="DD135">
        <v>0</v>
      </c>
      <c r="DI135" t="s">
        <v>2406</v>
      </c>
      <c r="DJ135" t="s">
        <v>2421</v>
      </c>
      <c r="DK135">
        <v>65</v>
      </c>
      <c r="DQ135" t="s">
        <v>607</v>
      </c>
      <c r="DR135">
        <v>30</v>
      </c>
      <c r="DS135">
        <v>0</v>
      </c>
      <c r="DT135">
        <v>0</v>
      </c>
      <c r="DU135">
        <v>0</v>
      </c>
      <c r="DV135">
        <v>0</v>
      </c>
      <c r="EW135" t="s">
        <v>188</v>
      </c>
      <c r="EX135" t="s">
        <v>188</v>
      </c>
      <c r="EY135" t="s">
        <v>188</v>
      </c>
      <c r="EZ135" t="s">
        <v>188</v>
      </c>
      <c r="FA135">
        <v>4</v>
      </c>
      <c r="FB135" t="s">
        <v>188</v>
      </c>
      <c r="FC135" t="s">
        <v>681</v>
      </c>
      <c r="FD135" t="s">
        <v>682</v>
      </c>
      <c r="FE135">
        <v>1.11111111111111E+27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 t="s">
        <v>188</v>
      </c>
      <c r="GF135" t="s">
        <v>188</v>
      </c>
      <c r="GG135" t="s">
        <v>188</v>
      </c>
      <c r="GH135" s="1">
        <v>44648</v>
      </c>
      <c r="GI135" t="s">
        <v>608</v>
      </c>
      <c r="GJ135" t="s">
        <v>609</v>
      </c>
      <c r="GK135" t="s">
        <v>610</v>
      </c>
      <c r="GL135">
        <v>0</v>
      </c>
      <c r="GM135">
        <v>0</v>
      </c>
      <c r="GN135">
        <v>88.9</v>
      </c>
      <c r="GO135">
        <v>73</v>
      </c>
      <c r="GP135">
        <v>0</v>
      </c>
      <c r="GQ135" t="s">
        <v>611</v>
      </c>
      <c r="GR135" s="1">
        <v>44872</v>
      </c>
      <c r="GV135" t="s">
        <v>188</v>
      </c>
      <c r="GW135" t="s">
        <v>188</v>
      </c>
      <c r="GX135" t="s">
        <v>188</v>
      </c>
      <c r="GY135" t="s">
        <v>188</v>
      </c>
      <c r="GZ135" t="s">
        <v>188</v>
      </c>
      <c r="HA135" t="s">
        <v>188</v>
      </c>
      <c r="HB135" t="s">
        <v>188</v>
      </c>
      <c r="HC135" t="s">
        <v>188</v>
      </c>
      <c r="HD135" t="s">
        <v>188</v>
      </c>
      <c r="HE135" t="s">
        <v>188</v>
      </c>
      <c r="HH135">
        <v>0</v>
      </c>
      <c r="HI135">
        <v>0</v>
      </c>
      <c r="HJ135">
        <v>49.78</v>
      </c>
      <c r="HK135">
        <v>36.340000000000003</v>
      </c>
      <c r="HL135">
        <v>26.01</v>
      </c>
      <c r="HN135" t="s">
        <v>188</v>
      </c>
      <c r="IS135">
        <v>0</v>
      </c>
      <c r="IT135">
        <v>0</v>
      </c>
      <c r="IU135">
        <v>0</v>
      </c>
      <c r="IV135">
        <v>0</v>
      </c>
      <c r="IW135">
        <v>0</v>
      </c>
      <c r="IX135" t="s">
        <v>2422</v>
      </c>
      <c r="IY135">
        <v>0</v>
      </c>
      <c r="IZ135">
        <v>0</v>
      </c>
      <c r="JA135">
        <v>0</v>
      </c>
      <c r="JB135">
        <v>0</v>
      </c>
      <c r="JC135" t="s">
        <v>613</v>
      </c>
      <c r="JD135" t="s">
        <v>2423</v>
      </c>
      <c r="JE135" t="s">
        <v>2424</v>
      </c>
      <c r="JF135">
        <v>0</v>
      </c>
      <c r="JG135" t="s">
        <v>2425</v>
      </c>
      <c r="JH135" t="s">
        <v>188</v>
      </c>
      <c r="JI135">
        <v>0</v>
      </c>
      <c r="JJ135" t="s">
        <v>188</v>
      </c>
      <c r="JK135">
        <v>27.97</v>
      </c>
      <c r="JL135">
        <v>0</v>
      </c>
      <c r="JM135">
        <v>7</v>
      </c>
    </row>
    <row r="136" spans="1:273" x14ac:dyDescent="0.3">
      <c r="A136" t="s">
        <v>2426</v>
      </c>
      <c r="B136" t="s">
        <v>302</v>
      </c>
      <c r="C136" t="s">
        <v>340</v>
      </c>
      <c r="D136" t="s">
        <v>590</v>
      </c>
      <c r="E136" t="s">
        <v>2427</v>
      </c>
      <c r="F136" t="s">
        <v>592</v>
      </c>
      <c r="G136">
        <v>5</v>
      </c>
      <c r="H136" t="s">
        <v>2428</v>
      </c>
      <c r="I136" t="s">
        <v>594</v>
      </c>
      <c r="J136" t="s">
        <v>993</v>
      </c>
      <c r="M136" t="s">
        <v>629</v>
      </c>
      <c r="N136">
        <v>1</v>
      </c>
      <c r="O136">
        <v>1</v>
      </c>
      <c r="P136">
        <v>1</v>
      </c>
      <c r="Q136">
        <v>8</v>
      </c>
      <c r="R136">
        <v>2</v>
      </c>
      <c r="S136">
        <v>0</v>
      </c>
      <c r="T136">
        <v>0</v>
      </c>
      <c r="U136">
        <v>0</v>
      </c>
      <c r="V136" t="s">
        <v>188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0</v>
      </c>
      <c r="AH136" t="s">
        <v>596</v>
      </c>
      <c r="AI136">
        <v>1</v>
      </c>
      <c r="AJ136" t="s">
        <v>199</v>
      </c>
      <c r="AK136">
        <v>1</v>
      </c>
      <c r="AL136">
        <v>7</v>
      </c>
      <c r="AM136">
        <v>61.6</v>
      </c>
      <c r="AN136">
        <v>0</v>
      </c>
      <c r="AO136">
        <v>0</v>
      </c>
      <c r="AP136">
        <v>0</v>
      </c>
      <c r="AQ136">
        <v>0</v>
      </c>
      <c r="AR136">
        <v>29.1</v>
      </c>
      <c r="AS136">
        <v>21.5</v>
      </c>
      <c r="AT136">
        <v>58.21</v>
      </c>
      <c r="AU136">
        <v>0</v>
      </c>
      <c r="AV136">
        <v>0</v>
      </c>
      <c r="AW136">
        <v>49.85</v>
      </c>
      <c r="AX136">
        <v>24.21</v>
      </c>
      <c r="AY136">
        <v>20.329999999999998</v>
      </c>
      <c r="AZ136">
        <v>0</v>
      </c>
      <c r="BA136">
        <v>29.1</v>
      </c>
      <c r="BB136">
        <v>0</v>
      </c>
      <c r="BC136">
        <v>21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500</v>
      </c>
      <c r="BN136">
        <v>1050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1050</v>
      </c>
      <c r="BV136">
        <v>381</v>
      </c>
      <c r="BW136" t="s">
        <v>188</v>
      </c>
      <c r="BX136">
        <v>0</v>
      </c>
      <c r="BY136" t="s">
        <v>2426</v>
      </c>
      <c r="CA136">
        <v>1050</v>
      </c>
      <c r="CB136">
        <v>29.1</v>
      </c>
      <c r="CC136">
        <v>61.6</v>
      </c>
      <c r="CD136" t="s">
        <v>188</v>
      </c>
      <c r="CE136" t="s">
        <v>2429</v>
      </c>
      <c r="CF136" t="s">
        <v>631</v>
      </c>
      <c r="CG136" t="s">
        <v>2430</v>
      </c>
      <c r="CI136" t="s">
        <v>2324</v>
      </c>
      <c r="CK136">
        <v>5</v>
      </c>
      <c r="CL136" t="s">
        <v>2431</v>
      </c>
      <c r="CM136" t="s">
        <v>2432</v>
      </c>
      <c r="CN136" t="s">
        <v>602</v>
      </c>
      <c r="CO136">
        <v>0</v>
      </c>
      <c r="CP136" t="s">
        <v>188</v>
      </c>
      <c r="CQ136" t="s">
        <v>188</v>
      </c>
      <c r="CR136">
        <v>55</v>
      </c>
      <c r="CS136">
        <v>0</v>
      </c>
      <c r="CX136">
        <v>0</v>
      </c>
      <c r="CY136">
        <v>0</v>
      </c>
      <c r="CZ136">
        <v>0</v>
      </c>
      <c r="DA136">
        <v>0</v>
      </c>
      <c r="DC136">
        <v>0</v>
      </c>
      <c r="DD136">
        <v>0</v>
      </c>
      <c r="DI136" t="s">
        <v>2428</v>
      </c>
      <c r="DJ136" t="s">
        <v>2433</v>
      </c>
      <c r="DQ136" t="s">
        <v>2434</v>
      </c>
      <c r="DR136">
        <v>75</v>
      </c>
      <c r="EW136" t="s">
        <v>188</v>
      </c>
      <c r="EX136" t="s">
        <v>188</v>
      </c>
      <c r="EY136" t="s">
        <v>188</v>
      </c>
      <c r="EZ136" t="s">
        <v>188</v>
      </c>
      <c r="FA136">
        <v>4</v>
      </c>
      <c r="FB136" t="s">
        <v>188</v>
      </c>
      <c r="FC136" t="s">
        <v>681</v>
      </c>
      <c r="FD136" t="s">
        <v>682</v>
      </c>
      <c r="FE136">
        <v>1.11111111111111E+27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 t="s">
        <v>188</v>
      </c>
      <c r="GF136" t="s">
        <v>188</v>
      </c>
      <c r="GG136" t="s">
        <v>188</v>
      </c>
      <c r="GH136" s="1">
        <v>45636</v>
      </c>
      <c r="GJ136" t="s">
        <v>812</v>
      </c>
      <c r="GK136" t="s">
        <v>812</v>
      </c>
      <c r="GL136">
        <v>0</v>
      </c>
      <c r="GM136">
        <v>0</v>
      </c>
      <c r="GN136">
        <v>101.6</v>
      </c>
      <c r="GO136">
        <v>101.6</v>
      </c>
      <c r="GP136">
        <v>0</v>
      </c>
      <c r="GR136" s="1">
        <v>45636</v>
      </c>
      <c r="GV136" t="s">
        <v>188</v>
      </c>
      <c r="GW136" t="s">
        <v>188</v>
      </c>
      <c r="GX136" t="s">
        <v>188</v>
      </c>
      <c r="GY136" t="s">
        <v>188</v>
      </c>
      <c r="GZ136" t="s">
        <v>188</v>
      </c>
      <c r="HA136" t="s">
        <v>188</v>
      </c>
      <c r="HB136" t="s">
        <v>188</v>
      </c>
      <c r="HC136" t="s">
        <v>188</v>
      </c>
      <c r="HD136" t="s">
        <v>188</v>
      </c>
      <c r="HE136" t="s">
        <v>188</v>
      </c>
      <c r="HH136">
        <v>0</v>
      </c>
      <c r="HI136">
        <v>0</v>
      </c>
      <c r="HJ136">
        <v>28.9</v>
      </c>
      <c r="HK136">
        <v>21.95</v>
      </c>
      <c r="HL136">
        <v>23.01</v>
      </c>
      <c r="HN136" t="s">
        <v>188</v>
      </c>
      <c r="IS136">
        <v>0</v>
      </c>
      <c r="IT136">
        <v>0</v>
      </c>
      <c r="IU136">
        <v>0</v>
      </c>
      <c r="IV136">
        <v>0</v>
      </c>
      <c r="IW136">
        <v>0</v>
      </c>
      <c r="IX136" t="s">
        <v>2435</v>
      </c>
      <c r="IY136">
        <v>0</v>
      </c>
      <c r="IZ136">
        <v>0</v>
      </c>
      <c r="JA136">
        <v>0</v>
      </c>
      <c r="JB136">
        <v>0</v>
      </c>
      <c r="JC136" t="s">
        <v>613</v>
      </c>
      <c r="JD136" t="s">
        <v>2436</v>
      </c>
      <c r="JE136" t="s">
        <v>2437</v>
      </c>
      <c r="JF136">
        <v>0</v>
      </c>
      <c r="JG136" t="s">
        <v>2438</v>
      </c>
      <c r="JH136" t="s">
        <v>188</v>
      </c>
      <c r="JI136">
        <v>0</v>
      </c>
      <c r="JJ136" t="s">
        <v>188</v>
      </c>
      <c r="JK136">
        <v>23.61</v>
      </c>
      <c r="JL136">
        <v>0</v>
      </c>
      <c r="JM136">
        <v>1</v>
      </c>
    </row>
    <row r="137" spans="1:273" x14ac:dyDescent="0.3">
      <c r="A137" t="s">
        <v>2439</v>
      </c>
      <c r="B137" t="s">
        <v>302</v>
      </c>
      <c r="C137" t="s">
        <v>340</v>
      </c>
      <c r="D137" t="s">
        <v>590</v>
      </c>
      <c r="E137" t="s">
        <v>2427</v>
      </c>
      <c r="F137" t="s">
        <v>592</v>
      </c>
      <c r="G137">
        <v>5</v>
      </c>
      <c r="H137" t="s">
        <v>2440</v>
      </c>
      <c r="I137" t="s">
        <v>594</v>
      </c>
      <c r="J137" t="s">
        <v>993</v>
      </c>
      <c r="M137" t="s">
        <v>643</v>
      </c>
      <c r="N137">
        <v>1</v>
      </c>
      <c r="O137">
        <v>1</v>
      </c>
      <c r="P137">
        <v>1</v>
      </c>
      <c r="Q137">
        <v>9</v>
      </c>
      <c r="R137">
        <v>2</v>
      </c>
      <c r="S137">
        <v>0</v>
      </c>
      <c r="T137">
        <v>0</v>
      </c>
      <c r="U137">
        <v>0</v>
      </c>
      <c r="V137" t="s">
        <v>188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 t="s">
        <v>596</v>
      </c>
      <c r="AI137">
        <v>1</v>
      </c>
      <c r="AJ137" t="s">
        <v>199</v>
      </c>
      <c r="AK137">
        <v>1</v>
      </c>
      <c r="AL137">
        <v>20.2</v>
      </c>
      <c r="AM137">
        <v>122.7</v>
      </c>
      <c r="AN137">
        <v>0</v>
      </c>
      <c r="AO137">
        <v>0</v>
      </c>
      <c r="AP137">
        <v>0</v>
      </c>
      <c r="AQ137">
        <v>0</v>
      </c>
      <c r="AR137">
        <v>25.2</v>
      </c>
      <c r="AS137">
        <v>18.399999999999999</v>
      </c>
      <c r="AT137">
        <v>55.88</v>
      </c>
      <c r="AU137">
        <v>0</v>
      </c>
      <c r="AV137">
        <v>0</v>
      </c>
      <c r="AW137">
        <v>108.06</v>
      </c>
      <c r="AX137">
        <v>20.190000000000001</v>
      </c>
      <c r="AY137">
        <v>38.28</v>
      </c>
      <c r="AZ137">
        <v>0</v>
      </c>
      <c r="BA137">
        <v>25.2</v>
      </c>
      <c r="BB137">
        <v>0</v>
      </c>
      <c r="BC137">
        <v>23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350</v>
      </c>
      <c r="BN137">
        <v>680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680</v>
      </c>
      <c r="BV137">
        <v>540</v>
      </c>
      <c r="BW137" t="s">
        <v>188</v>
      </c>
      <c r="BX137">
        <v>0</v>
      </c>
      <c r="BY137" t="s">
        <v>2439</v>
      </c>
      <c r="CA137">
        <v>680</v>
      </c>
      <c r="CB137">
        <v>25.2</v>
      </c>
      <c r="CC137">
        <v>122.7</v>
      </c>
      <c r="CD137" t="s">
        <v>188</v>
      </c>
      <c r="CE137" t="s">
        <v>2441</v>
      </c>
      <c r="CF137" t="s">
        <v>645</v>
      </c>
      <c r="CG137" t="s">
        <v>2442</v>
      </c>
      <c r="CI137" t="s">
        <v>2310</v>
      </c>
      <c r="CK137">
        <v>10</v>
      </c>
      <c r="CL137" t="s">
        <v>2443</v>
      </c>
      <c r="CM137" t="s">
        <v>2444</v>
      </c>
      <c r="CN137" t="s">
        <v>602</v>
      </c>
      <c r="CO137">
        <v>0</v>
      </c>
      <c r="CP137" t="s">
        <v>188</v>
      </c>
      <c r="CQ137" t="s">
        <v>188</v>
      </c>
      <c r="CR137">
        <v>63</v>
      </c>
      <c r="CS137">
        <v>0</v>
      </c>
      <c r="CX137">
        <v>0</v>
      </c>
      <c r="CY137">
        <v>0</v>
      </c>
      <c r="CZ137">
        <v>0</v>
      </c>
      <c r="DA137">
        <v>0</v>
      </c>
      <c r="DC137">
        <v>0</v>
      </c>
      <c r="DD137">
        <v>0</v>
      </c>
      <c r="DI137" t="s">
        <v>2440</v>
      </c>
      <c r="DJ137" t="s">
        <v>2445</v>
      </c>
      <c r="DQ137" t="s">
        <v>2434</v>
      </c>
      <c r="DR137">
        <v>75</v>
      </c>
      <c r="EW137" t="s">
        <v>188</v>
      </c>
      <c r="EX137" t="s">
        <v>188</v>
      </c>
      <c r="EY137" t="s">
        <v>188</v>
      </c>
      <c r="EZ137" t="s">
        <v>188</v>
      </c>
      <c r="FA137">
        <v>4</v>
      </c>
      <c r="FB137" t="s">
        <v>188</v>
      </c>
      <c r="FC137" t="s">
        <v>681</v>
      </c>
      <c r="FD137" t="s">
        <v>682</v>
      </c>
      <c r="FE137">
        <v>1.1111111111111101E+31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 t="s">
        <v>188</v>
      </c>
      <c r="GF137" t="s">
        <v>188</v>
      </c>
      <c r="GG137" t="s">
        <v>188</v>
      </c>
      <c r="GH137" s="1">
        <v>45636</v>
      </c>
      <c r="GJ137" t="s">
        <v>812</v>
      </c>
      <c r="GK137" t="s">
        <v>812</v>
      </c>
      <c r="GL137">
        <v>0</v>
      </c>
      <c r="GM137">
        <v>0</v>
      </c>
      <c r="GN137">
        <v>152.4</v>
      </c>
      <c r="GO137">
        <v>152.4</v>
      </c>
      <c r="GP137">
        <v>0</v>
      </c>
      <c r="GR137" s="1">
        <v>45636</v>
      </c>
      <c r="GV137" t="s">
        <v>188</v>
      </c>
      <c r="GW137" t="s">
        <v>188</v>
      </c>
      <c r="GX137" t="s">
        <v>188</v>
      </c>
      <c r="GY137" t="s">
        <v>188</v>
      </c>
      <c r="GZ137" t="s">
        <v>188</v>
      </c>
      <c r="HA137" t="s">
        <v>188</v>
      </c>
      <c r="HB137" t="s">
        <v>188</v>
      </c>
      <c r="HC137" t="s">
        <v>188</v>
      </c>
      <c r="HD137" t="s">
        <v>188</v>
      </c>
      <c r="HE137" t="s">
        <v>188</v>
      </c>
      <c r="HH137">
        <v>0</v>
      </c>
      <c r="HI137">
        <v>0</v>
      </c>
      <c r="HJ137">
        <v>25.3</v>
      </c>
      <c r="HK137">
        <v>17.45</v>
      </c>
      <c r="HL137">
        <v>41.37</v>
      </c>
      <c r="HN137" t="s">
        <v>188</v>
      </c>
      <c r="IS137">
        <v>0</v>
      </c>
      <c r="IT137">
        <v>0</v>
      </c>
      <c r="IU137">
        <v>0</v>
      </c>
      <c r="IV137">
        <v>0</v>
      </c>
      <c r="IW137">
        <v>0</v>
      </c>
      <c r="IX137" t="s">
        <v>2446</v>
      </c>
      <c r="IY137">
        <v>0</v>
      </c>
      <c r="IZ137">
        <v>0</v>
      </c>
      <c r="JA137">
        <v>0</v>
      </c>
      <c r="JB137">
        <v>0</v>
      </c>
      <c r="JC137" t="s">
        <v>613</v>
      </c>
      <c r="JD137" t="s">
        <v>2447</v>
      </c>
      <c r="JE137" t="s">
        <v>2448</v>
      </c>
      <c r="JF137">
        <v>0</v>
      </c>
      <c r="JG137" t="s">
        <v>2449</v>
      </c>
      <c r="JH137" t="s">
        <v>188</v>
      </c>
      <c r="JI137">
        <v>0</v>
      </c>
      <c r="JJ137" t="s">
        <v>188</v>
      </c>
      <c r="JK137">
        <v>40.24</v>
      </c>
      <c r="JL137">
        <v>0</v>
      </c>
      <c r="JM137">
        <v>1</v>
      </c>
    </row>
    <row r="138" spans="1:273" x14ac:dyDescent="0.3">
      <c r="A138" t="s">
        <v>2450</v>
      </c>
      <c r="B138" t="s">
        <v>302</v>
      </c>
      <c r="C138" t="s">
        <v>340</v>
      </c>
      <c r="D138" t="s">
        <v>590</v>
      </c>
      <c r="E138" t="s">
        <v>2427</v>
      </c>
      <c r="F138" t="s">
        <v>592</v>
      </c>
      <c r="G138">
        <v>5</v>
      </c>
      <c r="H138" t="s">
        <v>2451</v>
      </c>
      <c r="I138" t="s">
        <v>594</v>
      </c>
      <c r="J138" t="s">
        <v>993</v>
      </c>
      <c r="M138" t="s">
        <v>2452</v>
      </c>
      <c r="N138">
        <v>1</v>
      </c>
      <c r="O138">
        <v>1</v>
      </c>
      <c r="P138">
        <v>1</v>
      </c>
      <c r="Q138">
        <v>7</v>
      </c>
      <c r="R138">
        <v>2</v>
      </c>
      <c r="S138">
        <v>0</v>
      </c>
      <c r="T138">
        <v>0</v>
      </c>
      <c r="U138">
        <v>0</v>
      </c>
      <c r="V138" t="s">
        <v>188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 t="s">
        <v>596</v>
      </c>
      <c r="AI138">
        <v>1</v>
      </c>
      <c r="AJ138" t="s">
        <v>199</v>
      </c>
      <c r="AK138">
        <v>1</v>
      </c>
      <c r="AL138">
        <v>40.1</v>
      </c>
      <c r="AM138">
        <v>205.4</v>
      </c>
      <c r="AN138">
        <v>0</v>
      </c>
      <c r="AO138">
        <v>0</v>
      </c>
      <c r="AP138">
        <v>0</v>
      </c>
      <c r="AQ138">
        <v>0</v>
      </c>
      <c r="AR138">
        <v>26.6</v>
      </c>
      <c r="AS138">
        <v>19.2</v>
      </c>
      <c r="AT138">
        <v>55.73</v>
      </c>
      <c r="AU138">
        <v>0</v>
      </c>
      <c r="AV138">
        <v>0</v>
      </c>
      <c r="AW138">
        <v>178.66</v>
      </c>
      <c r="AX138">
        <v>20.71</v>
      </c>
      <c r="AY138">
        <v>65.09</v>
      </c>
      <c r="AZ138">
        <v>0</v>
      </c>
      <c r="BA138">
        <v>26.6</v>
      </c>
      <c r="BB138">
        <v>0</v>
      </c>
      <c r="BC138">
        <v>28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350</v>
      </c>
      <c r="BN138">
        <v>650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650</v>
      </c>
      <c r="BV138">
        <v>571</v>
      </c>
      <c r="BW138" t="s">
        <v>188</v>
      </c>
      <c r="BX138">
        <v>0</v>
      </c>
      <c r="BY138" t="s">
        <v>2450</v>
      </c>
      <c r="CA138">
        <v>650</v>
      </c>
      <c r="CB138">
        <v>26.6</v>
      </c>
      <c r="CC138">
        <v>205.4</v>
      </c>
      <c r="CD138" t="s">
        <v>188</v>
      </c>
      <c r="CE138" t="s">
        <v>2453</v>
      </c>
      <c r="CF138" t="s">
        <v>2454</v>
      </c>
      <c r="CG138" t="s">
        <v>2455</v>
      </c>
      <c r="CI138" t="s">
        <v>1446</v>
      </c>
      <c r="CK138">
        <v>10</v>
      </c>
      <c r="CL138" t="s">
        <v>2456</v>
      </c>
      <c r="CM138" t="s">
        <v>2457</v>
      </c>
      <c r="CN138" t="s">
        <v>602</v>
      </c>
      <c r="CO138">
        <v>0</v>
      </c>
      <c r="CP138" t="s">
        <v>188</v>
      </c>
      <c r="CQ138" t="s">
        <v>188</v>
      </c>
      <c r="CR138">
        <v>79</v>
      </c>
      <c r="CS138">
        <v>0</v>
      </c>
      <c r="CX138">
        <v>0</v>
      </c>
      <c r="CY138">
        <v>0</v>
      </c>
      <c r="CZ138">
        <v>0</v>
      </c>
      <c r="DA138">
        <v>0</v>
      </c>
      <c r="DC138">
        <v>0</v>
      </c>
      <c r="DD138">
        <v>0</v>
      </c>
      <c r="DI138" t="s">
        <v>2451</v>
      </c>
      <c r="DJ138" t="s">
        <v>2458</v>
      </c>
      <c r="DQ138" t="s">
        <v>2459</v>
      </c>
      <c r="DR138">
        <v>110</v>
      </c>
      <c r="EW138" t="s">
        <v>188</v>
      </c>
      <c r="EX138" t="s">
        <v>188</v>
      </c>
      <c r="EY138" t="s">
        <v>188</v>
      </c>
      <c r="EZ138" t="s">
        <v>188</v>
      </c>
      <c r="FA138">
        <v>4</v>
      </c>
      <c r="FB138" t="s">
        <v>188</v>
      </c>
      <c r="FC138" t="s">
        <v>681</v>
      </c>
      <c r="FD138" t="s">
        <v>682</v>
      </c>
      <c r="FE138">
        <v>1.11111111111111E+27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 t="s">
        <v>188</v>
      </c>
      <c r="GF138" t="s">
        <v>188</v>
      </c>
      <c r="GG138" t="s">
        <v>188</v>
      </c>
      <c r="GH138" s="1">
        <v>45636</v>
      </c>
      <c r="GJ138" t="s">
        <v>812</v>
      </c>
      <c r="GK138" t="s">
        <v>812</v>
      </c>
      <c r="GL138">
        <v>0</v>
      </c>
      <c r="GM138">
        <v>0</v>
      </c>
      <c r="GN138">
        <v>203.2</v>
      </c>
      <c r="GO138">
        <v>203.2</v>
      </c>
      <c r="GP138">
        <v>0</v>
      </c>
      <c r="GR138" s="1">
        <v>45636</v>
      </c>
      <c r="GV138" t="s">
        <v>188</v>
      </c>
      <c r="GW138" t="s">
        <v>188</v>
      </c>
      <c r="GX138" t="s">
        <v>188</v>
      </c>
      <c r="GY138" t="s">
        <v>188</v>
      </c>
      <c r="GZ138" t="s">
        <v>188</v>
      </c>
      <c r="HA138" t="s">
        <v>188</v>
      </c>
      <c r="HB138" t="s">
        <v>188</v>
      </c>
      <c r="HC138" t="s">
        <v>188</v>
      </c>
      <c r="HD138" t="s">
        <v>188</v>
      </c>
      <c r="HE138" t="s">
        <v>188</v>
      </c>
      <c r="HH138">
        <v>0</v>
      </c>
      <c r="HI138">
        <v>0</v>
      </c>
      <c r="HJ138">
        <v>25.9</v>
      </c>
      <c r="HK138">
        <v>18.600000000000001</v>
      </c>
      <c r="HL138">
        <v>72.11</v>
      </c>
      <c r="HN138" t="s">
        <v>188</v>
      </c>
      <c r="IS138">
        <v>0</v>
      </c>
      <c r="IT138">
        <v>0</v>
      </c>
      <c r="IU138">
        <v>0</v>
      </c>
      <c r="IV138">
        <v>0</v>
      </c>
      <c r="IW138">
        <v>0</v>
      </c>
      <c r="IX138" t="s">
        <v>2460</v>
      </c>
      <c r="IY138">
        <v>0</v>
      </c>
      <c r="IZ138">
        <v>0</v>
      </c>
      <c r="JA138">
        <v>0</v>
      </c>
      <c r="JB138">
        <v>0</v>
      </c>
      <c r="JC138" t="s">
        <v>613</v>
      </c>
      <c r="JD138" t="s">
        <v>2461</v>
      </c>
      <c r="JE138" t="s">
        <v>2462</v>
      </c>
      <c r="JF138">
        <v>0</v>
      </c>
      <c r="JG138" t="s">
        <v>2463</v>
      </c>
      <c r="JH138" t="s">
        <v>188</v>
      </c>
      <c r="JI138">
        <v>0</v>
      </c>
      <c r="JJ138" t="s">
        <v>188</v>
      </c>
      <c r="JK138">
        <v>70.3</v>
      </c>
      <c r="JL138">
        <v>0</v>
      </c>
      <c r="JM138">
        <v>1</v>
      </c>
    </row>
    <row r="139" spans="1:273" x14ac:dyDescent="0.3">
      <c r="A139" t="s">
        <v>2464</v>
      </c>
      <c r="B139" t="s">
        <v>302</v>
      </c>
      <c r="C139" t="s">
        <v>340</v>
      </c>
      <c r="D139" t="s">
        <v>590</v>
      </c>
      <c r="E139" t="s">
        <v>2427</v>
      </c>
      <c r="F139" t="s">
        <v>592</v>
      </c>
      <c r="G139">
        <v>5</v>
      </c>
      <c r="H139" t="s">
        <v>2465</v>
      </c>
      <c r="I139" t="s">
        <v>594</v>
      </c>
      <c r="J139" t="s">
        <v>993</v>
      </c>
      <c r="M139" t="s">
        <v>593</v>
      </c>
      <c r="N139">
        <v>1</v>
      </c>
      <c r="O139">
        <v>1</v>
      </c>
      <c r="P139">
        <v>1</v>
      </c>
      <c r="Q139">
        <v>7</v>
      </c>
      <c r="R139">
        <v>2</v>
      </c>
      <c r="S139">
        <v>0</v>
      </c>
      <c r="T139">
        <v>0</v>
      </c>
      <c r="U139">
        <v>0</v>
      </c>
      <c r="V139" t="s">
        <v>188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 t="s">
        <v>596</v>
      </c>
      <c r="AI139">
        <v>1</v>
      </c>
      <c r="AJ139" t="s">
        <v>199</v>
      </c>
      <c r="AK139">
        <v>1</v>
      </c>
      <c r="AL139">
        <v>2.6</v>
      </c>
      <c r="AM139">
        <v>14.2</v>
      </c>
      <c r="AN139">
        <v>0</v>
      </c>
      <c r="AO139">
        <v>0</v>
      </c>
      <c r="AP139">
        <v>0</v>
      </c>
      <c r="AQ139">
        <v>0</v>
      </c>
      <c r="AR139">
        <v>30.2</v>
      </c>
      <c r="AS139">
        <v>22.7</v>
      </c>
      <c r="AT139">
        <v>46.98</v>
      </c>
      <c r="AU139">
        <v>0</v>
      </c>
      <c r="AV139">
        <v>0</v>
      </c>
      <c r="AW139">
        <v>12.02</v>
      </c>
      <c r="AX139">
        <v>24.96</v>
      </c>
      <c r="AY139">
        <v>6.26</v>
      </c>
      <c r="AZ139">
        <v>0</v>
      </c>
      <c r="BA139">
        <v>30.2</v>
      </c>
      <c r="BB139">
        <v>0</v>
      </c>
      <c r="BC139">
        <v>18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800</v>
      </c>
      <c r="BN139">
        <v>1800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1800</v>
      </c>
      <c r="BV139">
        <v>228</v>
      </c>
      <c r="BW139" t="s">
        <v>188</v>
      </c>
      <c r="BX139">
        <v>0</v>
      </c>
      <c r="BY139" t="s">
        <v>2464</v>
      </c>
      <c r="CA139">
        <v>1800</v>
      </c>
      <c r="CB139">
        <v>30.2</v>
      </c>
      <c r="CC139">
        <v>14.2</v>
      </c>
      <c r="CD139" t="s">
        <v>188</v>
      </c>
      <c r="CE139" t="s">
        <v>2466</v>
      </c>
      <c r="CF139" t="s">
        <v>598</v>
      </c>
      <c r="CG139" t="s">
        <v>2467</v>
      </c>
      <c r="CI139" t="s">
        <v>1446</v>
      </c>
      <c r="CK139">
        <v>1</v>
      </c>
      <c r="CL139" t="s">
        <v>2468</v>
      </c>
      <c r="CM139" t="s">
        <v>2469</v>
      </c>
      <c r="CN139" t="s">
        <v>602</v>
      </c>
      <c r="CO139">
        <v>0</v>
      </c>
      <c r="CP139" t="s">
        <v>188</v>
      </c>
      <c r="CQ139" t="s">
        <v>188</v>
      </c>
      <c r="CR139">
        <v>35</v>
      </c>
      <c r="CS139">
        <v>0</v>
      </c>
      <c r="CX139">
        <v>0</v>
      </c>
      <c r="CY139">
        <v>0</v>
      </c>
      <c r="CZ139">
        <v>0</v>
      </c>
      <c r="DA139">
        <v>0</v>
      </c>
      <c r="DC139">
        <v>0</v>
      </c>
      <c r="DD139">
        <v>0</v>
      </c>
      <c r="DI139" t="s">
        <v>2465</v>
      </c>
      <c r="DJ139" t="s">
        <v>2470</v>
      </c>
      <c r="DQ139" t="s">
        <v>2471</v>
      </c>
      <c r="DR139">
        <v>30</v>
      </c>
      <c r="EW139" t="s">
        <v>188</v>
      </c>
      <c r="EX139" t="s">
        <v>188</v>
      </c>
      <c r="EY139" t="s">
        <v>188</v>
      </c>
      <c r="EZ139" t="s">
        <v>188</v>
      </c>
      <c r="FA139">
        <v>4</v>
      </c>
      <c r="FB139" t="s">
        <v>188</v>
      </c>
      <c r="FC139" t="s">
        <v>681</v>
      </c>
      <c r="FD139" t="s">
        <v>682</v>
      </c>
      <c r="FE139">
        <v>1.1111111111111099E+23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 t="s">
        <v>188</v>
      </c>
      <c r="GF139" t="s">
        <v>188</v>
      </c>
      <c r="GG139" t="s">
        <v>188</v>
      </c>
      <c r="GH139" s="1">
        <v>45636</v>
      </c>
      <c r="GJ139" t="s">
        <v>812</v>
      </c>
      <c r="GK139" t="s">
        <v>812</v>
      </c>
      <c r="GL139">
        <v>0</v>
      </c>
      <c r="GM139">
        <v>0</v>
      </c>
      <c r="GN139">
        <v>50.8</v>
      </c>
      <c r="GO139">
        <v>50.8</v>
      </c>
      <c r="GP139">
        <v>0</v>
      </c>
      <c r="GR139" s="1">
        <v>45636</v>
      </c>
      <c r="GV139" t="s">
        <v>188</v>
      </c>
      <c r="GW139" t="s">
        <v>188</v>
      </c>
      <c r="GX139" t="s">
        <v>188</v>
      </c>
      <c r="GY139" t="s">
        <v>188</v>
      </c>
      <c r="GZ139" t="s">
        <v>188</v>
      </c>
      <c r="HA139" t="s">
        <v>188</v>
      </c>
      <c r="HB139" t="s">
        <v>188</v>
      </c>
      <c r="HC139" t="s">
        <v>188</v>
      </c>
      <c r="HD139" t="s">
        <v>188</v>
      </c>
      <c r="HE139" t="s">
        <v>188</v>
      </c>
      <c r="HH139">
        <v>0</v>
      </c>
      <c r="HI139">
        <v>0</v>
      </c>
      <c r="HJ139">
        <v>30.02</v>
      </c>
      <c r="HK139">
        <v>22.45</v>
      </c>
      <c r="HL139">
        <v>7.13</v>
      </c>
      <c r="HN139" t="s">
        <v>188</v>
      </c>
      <c r="IS139">
        <v>0</v>
      </c>
      <c r="IT139">
        <v>0</v>
      </c>
      <c r="IU139">
        <v>0</v>
      </c>
      <c r="IV139">
        <v>0</v>
      </c>
      <c r="IW139">
        <v>0</v>
      </c>
      <c r="IX139" t="s">
        <v>2153</v>
      </c>
      <c r="IY139">
        <v>0</v>
      </c>
      <c r="IZ139">
        <v>0</v>
      </c>
      <c r="JA139">
        <v>0</v>
      </c>
      <c r="JB139">
        <v>0</v>
      </c>
      <c r="JC139" t="s">
        <v>613</v>
      </c>
      <c r="JD139" t="s">
        <v>2472</v>
      </c>
      <c r="JE139" t="s">
        <v>2473</v>
      </c>
      <c r="JF139">
        <v>0</v>
      </c>
      <c r="JG139" t="s">
        <v>2474</v>
      </c>
      <c r="JH139" t="s">
        <v>188</v>
      </c>
      <c r="JI139">
        <v>0</v>
      </c>
      <c r="JJ139" t="s">
        <v>188</v>
      </c>
      <c r="JK139">
        <v>7.02</v>
      </c>
      <c r="JL139">
        <v>0</v>
      </c>
      <c r="JM139">
        <v>1</v>
      </c>
    </row>
    <row r="140" spans="1:273" x14ac:dyDescent="0.3">
      <c r="A140" t="s">
        <v>2475</v>
      </c>
      <c r="B140" t="s">
        <v>302</v>
      </c>
      <c r="C140" t="s">
        <v>340</v>
      </c>
      <c r="D140" t="s">
        <v>590</v>
      </c>
      <c r="E140" t="s">
        <v>2427</v>
      </c>
      <c r="F140" t="s">
        <v>592</v>
      </c>
      <c r="G140">
        <v>5</v>
      </c>
      <c r="H140" t="s">
        <v>2476</v>
      </c>
      <c r="I140" t="s">
        <v>594</v>
      </c>
      <c r="J140" t="s">
        <v>993</v>
      </c>
      <c r="M140" t="s">
        <v>616</v>
      </c>
      <c r="N140">
        <v>1</v>
      </c>
      <c r="O140">
        <v>1</v>
      </c>
      <c r="P140">
        <v>1</v>
      </c>
      <c r="Q140">
        <v>8</v>
      </c>
      <c r="R140">
        <v>2</v>
      </c>
      <c r="S140">
        <v>0</v>
      </c>
      <c r="T140">
        <v>0</v>
      </c>
      <c r="U140">
        <v>0</v>
      </c>
      <c r="V140" t="s">
        <v>188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 t="s">
        <v>596</v>
      </c>
      <c r="AI140">
        <v>1</v>
      </c>
      <c r="AJ140" t="s">
        <v>199</v>
      </c>
      <c r="AK140">
        <v>1</v>
      </c>
      <c r="AL140">
        <v>6.5</v>
      </c>
      <c r="AM140">
        <v>41</v>
      </c>
      <c r="AN140">
        <v>0</v>
      </c>
      <c r="AO140">
        <v>0</v>
      </c>
      <c r="AP140">
        <v>0</v>
      </c>
      <c r="AQ140">
        <v>0</v>
      </c>
      <c r="AR140">
        <v>29.4</v>
      </c>
      <c r="AS140">
        <v>22.5</v>
      </c>
      <c r="AT140">
        <v>56.71</v>
      </c>
      <c r="AU140">
        <v>0</v>
      </c>
      <c r="AV140">
        <v>0</v>
      </c>
      <c r="AW140">
        <v>34.58</v>
      </c>
      <c r="AX140">
        <v>24.3</v>
      </c>
      <c r="AY140">
        <v>14.53</v>
      </c>
      <c r="AZ140">
        <v>0</v>
      </c>
      <c r="BA140">
        <v>29.4</v>
      </c>
      <c r="BB140">
        <v>0</v>
      </c>
      <c r="BC140">
        <v>25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700</v>
      </c>
      <c r="BN140">
        <v>1500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1500</v>
      </c>
      <c r="BV140">
        <v>267</v>
      </c>
      <c r="BW140" t="s">
        <v>188</v>
      </c>
      <c r="BX140">
        <v>0</v>
      </c>
      <c r="BY140" t="s">
        <v>2475</v>
      </c>
      <c r="CA140">
        <v>1500</v>
      </c>
      <c r="CB140">
        <v>29.4</v>
      </c>
      <c r="CC140">
        <v>41</v>
      </c>
      <c r="CD140" t="s">
        <v>188</v>
      </c>
      <c r="CE140" t="s">
        <v>2477</v>
      </c>
      <c r="CF140" t="s">
        <v>2478</v>
      </c>
      <c r="CG140" t="s">
        <v>2479</v>
      </c>
      <c r="CI140" t="s">
        <v>2324</v>
      </c>
      <c r="CK140">
        <v>5</v>
      </c>
      <c r="CL140" t="s">
        <v>2480</v>
      </c>
      <c r="CM140" t="s">
        <v>2481</v>
      </c>
      <c r="CN140" t="s">
        <v>602</v>
      </c>
      <c r="CO140">
        <v>0</v>
      </c>
      <c r="CP140" t="s">
        <v>188</v>
      </c>
      <c r="CQ140" t="s">
        <v>188</v>
      </c>
      <c r="CR140">
        <v>38</v>
      </c>
      <c r="CS140">
        <v>0</v>
      </c>
      <c r="CX140">
        <v>0</v>
      </c>
      <c r="CY140">
        <v>0</v>
      </c>
      <c r="CZ140">
        <v>0</v>
      </c>
      <c r="DA140">
        <v>0</v>
      </c>
      <c r="DC140">
        <v>0</v>
      </c>
      <c r="DD140">
        <v>0</v>
      </c>
      <c r="DI140" t="s">
        <v>2476</v>
      </c>
      <c r="DJ140" t="s">
        <v>2482</v>
      </c>
      <c r="DQ140" t="s">
        <v>2471</v>
      </c>
      <c r="DR140">
        <v>30</v>
      </c>
      <c r="EW140" t="s">
        <v>188</v>
      </c>
      <c r="EX140" t="s">
        <v>188</v>
      </c>
      <c r="EY140" t="s">
        <v>188</v>
      </c>
      <c r="EZ140" t="s">
        <v>188</v>
      </c>
      <c r="FA140">
        <v>4</v>
      </c>
      <c r="FB140" t="s">
        <v>188</v>
      </c>
      <c r="FC140" t="s">
        <v>681</v>
      </c>
      <c r="FD140" t="s">
        <v>682</v>
      </c>
      <c r="FE140">
        <v>1.11111111111111E+19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 t="s">
        <v>188</v>
      </c>
      <c r="GF140" t="s">
        <v>188</v>
      </c>
      <c r="GG140" t="s">
        <v>188</v>
      </c>
      <c r="GH140" s="1">
        <v>45636</v>
      </c>
      <c r="GJ140" t="s">
        <v>812</v>
      </c>
      <c r="GK140" t="s">
        <v>812</v>
      </c>
      <c r="GL140">
        <v>0</v>
      </c>
      <c r="GM140">
        <v>0</v>
      </c>
      <c r="GN140">
        <v>76.2</v>
      </c>
      <c r="GO140">
        <v>76.2</v>
      </c>
      <c r="GP140">
        <v>0</v>
      </c>
      <c r="GR140" s="1">
        <v>45636</v>
      </c>
      <c r="GV140" t="s">
        <v>188</v>
      </c>
      <c r="GW140" t="s">
        <v>188</v>
      </c>
      <c r="GX140" t="s">
        <v>188</v>
      </c>
      <c r="GY140" t="s">
        <v>188</v>
      </c>
      <c r="GZ140" t="s">
        <v>188</v>
      </c>
      <c r="HA140" t="s">
        <v>188</v>
      </c>
      <c r="HB140" t="s">
        <v>188</v>
      </c>
      <c r="HC140" t="s">
        <v>188</v>
      </c>
      <c r="HD140" t="s">
        <v>188</v>
      </c>
      <c r="HE140" t="s">
        <v>188</v>
      </c>
      <c r="HH140">
        <v>0</v>
      </c>
      <c r="HI140">
        <v>0</v>
      </c>
      <c r="HJ140">
        <v>28.91</v>
      </c>
      <c r="HK140">
        <v>22.34</v>
      </c>
      <c r="HL140">
        <v>16.57</v>
      </c>
      <c r="HN140" t="s">
        <v>188</v>
      </c>
      <c r="IS140">
        <v>0</v>
      </c>
      <c r="IT140">
        <v>0</v>
      </c>
      <c r="IU140">
        <v>0</v>
      </c>
      <c r="IV140">
        <v>0</v>
      </c>
      <c r="IW140">
        <v>0</v>
      </c>
      <c r="IX140" t="s">
        <v>2435</v>
      </c>
      <c r="IY140">
        <v>0</v>
      </c>
      <c r="IZ140">
        <v>0</v>
      </c>
      <c r="JA140">
        <v>0</v>
      </c>
      <c r="JB140">
        <v>0</v>
      </c>
      <c r="JC140" t="s">
        <v>613</v>
      </c>
      <c r="JD140" t="s">
        <v>2483</v>
      </c>
      <c r="JE140" t="s">
        <v>2484</v>
      </c>
      <c r="JF140">
        <v>0</v>
      </c>
      <c r="JG140" t="s">
        <v>2485</v>
      </c>
      <c r="JH140" t="s">
        <v>188</v>
      </c>
      <c r="JI140">
        <v>0</v>
      </c>
      <c r="JJ140" t="s">
        <v>188</v>
      </c>
      <c r="JK140">
        <v>16.45</v>
      </c>
      <c r="JL140">
        <v>0</v>
      </c>
      <c r="JM140">
        <v>1</v>
      </c>
    </row>
    <row r="141" spans="1:273" x14ac:dyDescent="0.3">
      <c r="A141" t="s">
        <v>2486</v>
      </c>
      <c r="B141" t="s">
        <v>302</v>
      </c>
      <c r="C141" t="s">
        <v>340</v>
      </c>
      <c r="D141" t="s">
        <v>657</v>
      </c>
      <c r="E141" t="s">
        <v>2487</v>
      </c>
      <c r="F141" t="s">
        <v>592</v>
      </c>
      <c r="G141">
        <v>5</v>
      </c>
      <c r="H141" t="s">
        <v>2488</v>
      </c>
      <c r="I141" t="s">
        <v>594</v>
      </c>
      <c r="J141" t="s">
        <v>993</v>
      </c>
      <c r="L141" t="s">
        <v>2489</v>
      </c>
      <c r="M141" t="s">
        <v>2490</v>
      </c>
      <c r="N141">
        <v>1</v>
      </c>
      <c r="O141">
        <v>1</v>
      </c>
      <c r="P141">
        <v>1</v>
      </c>
      <c r="Q141">
        <v>8</v>
      </c>
      <c r="R141">
        <v>2</v>
      </c>
      <c r="S141">
        <v>0</v>
      </c>
      <c r="T141">
        <v>0</v>
      </c>
      <c r="U141">
        <v>0</v>
      </c>
      <c r="V141" t="s">
        <v>188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0</v>
      </c>
      <c r="AH141" t="s">
        <v>596</v>
      </c>
      <c r="AI141">
        <v>1</v>
      </c>
      <c r="AJ141" t="s">
        <v>199</v>
      </c>
      <c r="AK141">
        <v>1</v>
      </c>
      <c r="AL141">
        <v>22.5</v>
      </c>
      <c r="AM141">
        <v>110.8</v>
      </c>
      <c r="AN141">
        <v>0</v>
      </c>
      <c r="AO141">
        <v>0</v>
      </c>
      <c r="AP141">
        <v>0</v>
      </c>
      <c r="AQ141">
        <v>150</v>
      </c>
      <c r="AR141">
        <v>132.5</v>
      </c>
      <c r="AS141">
        <v>76</v>
      </c>
      <c r="AT141">
        <v>66.72</v>
      </c>
      <c r="AU141">
        <v>0</v>
      </c>
      <c r="AV141">
        <v>0</v>
      </c>
      <c r="AW141">
        <v>77.650000000000006</v>
      </c>
      <c r="AX141">
        <v>104.06</v>
      </c>
      <c r="AY141">
        <v>118.72</v>
      </c>
      <c r="AZ141">
        <v>7.89</v>
      </c>
      <c r="BA141">
        <v>132.5</v>
      </c>
      <c r="BB141">
        <v>0</v>
      </c>
      <c r="BC141">
        <v>19</v>
      </c>
      <c r="BD141">
        <v>130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1400</v>
      </c>
      <c r="BN141">
        <v>2200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2200</v>
      </c>
      <c r="BV141">
        <v>400</v>
      </c>
      <c r="BW141" t="s">
        <v>188</v>
      </c>
      <c r="BX141">
        <v>0</v>
      </c>
      <c r="BY141" t="s">
        <v>2490</v>
      </c>
      <c r="CA141">
        <v>2200</v>
      </c>
      <c r="CB141">
        <v>132.5</v>
      </c>
      <c r="CC141">
        <v>110.8</v>
      </c>
      <c r="CD141" t="s">
        <v>188</v>
      </c>
      <c r="CE141" t="s">
        <v>2491</v>
      </c>
      <c r="CF141" t="s">
        <v>2492</v>
      </c>
      <c r="CG141" t="s">
        <v>2493</v>
      </c>
      <c r="CI141" t="s">
        <v>2494</v>
      </c>
      <c r="CK141">
        <v>10</v>
      </c>
      <c r="CL141" t="s">
        <v>2495</v>
      </c>
      <c r="CM141" t="s">
        <v>2496</v>
      </c>
      <c r="CN141" t="s">
        <v>2497</v>
      </c>
      <c r="CO141">
        <v>0</v>
      </c>
      <c r="CP141" t="s">
        <v>188</v>
      </c>
      <c r="CQ141" t="s">
        <v>188</v>
      </c>
      <c r="CR141">
        <v>0</v>
      </c>
      <c r="CS141">
        <v>0</v>
      </c>
      <c r="CT141" t="s">
        <v>2498</v>
      </c>
      <c r="CX141">
        <v>0</v>
      </c>
      <c r="CY141">
        <v>1700</v>
      </c>
      <c r="CZ141">
        <v>0</v>
      </c>
      <c r="DA141">
        <v>0</v>
      </c>
      <c r="DB141" t="s">
        <v>2499</v>
      </c>
      <c r="DC141">
        <v>0</v>
      </c>
      <c r="DD141">
        <v>0</v>
      </c>
      <c r="DI141" t="s">
        <v>2500</v>
      </c>
      <c r="DJ141" t="s">
        <v>2501</v>
      </c>
      <c r="DK141">
        <v>100</v>
      </c>
      <c r="DQ141" t="s">
        <v>2502</v>
      </c>
      <c r="DR141">
        <v>150</v>
      </c>
      <c r="DS141">
        <v>0</v>
      </c>
      <c r="DT141">
        <v>0</v>
      </c>
      <c r="DU141">
        <v>0</v>
      </c>
      <c r="DV141">
        <v>0</v>
      </c>
      <c r="EW141" t="s">
        <v>188</v>
      </c>
      <c r="EX141" t="s">
        <v>188</v>
      </c>
      <c r="EY141" t="s">
        <v>188</v>
      </c>
      <c r="EZ141" t="s">
        <v>188</v>
      </c>
      <c r="FA141">
        <v>4</v>
      </c>
      <c r="FB141" t="s">
        <v>188</v>
      </c>
      <c r="FC141" t="s">
        <v>681</v>
      </c>
      <c r="FD141" t="s">
        <v>682</v>
      </c>
      <c r="FE141">
        <v>1.11111111111111E+19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 t="s">
        <v>188</v>
      </c>
      <c r="GF141" t="s">
        <v>188</v>
      </c>
      <c r="GG141" t="s">
        <v>188</v>
      </c>
      <c r="GH141" s="1">
        <v>44648</v>
      </c>
      <c r="GI141" t="s">
        <v>608</v>
      </c>
      <c r="GJ141" t="s">
        <v>609</v>
      </c>
      <c r="GK141" t="s">
        <v>610</v>
      </c>
      <c r="GL141">
        <v>0</v>
      </c>
      <c r="GM141">
        <v>0</v>
      </c>
      <c r="GN141">
        <v>152.4</v>
      </c>
      <c r="GO141">
        <v>101.6</v>
      </c>
      <c r="GP141">
        <v>0</v>
      </c>
      <c r="GQ141" t="s">
        <v>611</v>
      </c>
      <c r="GR141" s="1">
        <v>45231</v>
      </c>
      <c r="GV141" t="s">
        <v>188</v>
      </c>
      <c r="GW141" t="s">
        <v>188</v>
      </c>
      <c r="GX141" t="s">
        <v>188</v>
      </c>
      <c r="GY141" t="s">
        <v>188</v>
      </c>
      <c r="GZ141" t="s">
        <v>188</v>
      </c>
      <c r="HA141" t="s">
        <v>188</v>
      </c>
      <c r="HB141" t="s">
        <v>188</v>
      </c>
      <c r="HC141" t="s">
        <v>188</v>
      </c>
      <c r="HD141" t="s">
        <v>188</v>
      </c>
      <c r="HE141" t="s">
        <v>188</v>
      </c>
      <c r="HH141">
        <v>0</v>
      </c>
      <c r="HI141">
        <v>0</v>
      </c>
      <c r="HJ141">
        <v>131.37</v>
      </c>
      <c r="HK141">
        <v>91.53</v>
      </c>
      <c r="HL141">
        <v>127.88</v>
      </c>
      <c r="HN141" t="s">
        <v>188</v>
      </c>
      <c r="IS141">
        <v>0</v>
      </c>
      <c r="IT141">
        <v>0</v>
      </c>
      <c r="IU141">
        <v>0</v>
      </c>
      <c r="IV141">
        <v>0</v>
      </c>
      <c r="IW141">
        <v>0</v>
      </c>
      <c r="IX141" t="s">
        <v>2503</v>
      </c>
      <c r="IY141">
        <v>0</v>
      </c>
      <c r="IZ141">
        <v>0</v>
      </c>
      <c r="JA141">
        <v>0</v>
      </c>
      <c r="JB141">
        <v>0</v>
      </c>
      <c r="JC141" t="s">
        <v>613</v>
      </c>
      <c r="JD141" t="s">
        <v>2504</v>
      </c>
      <c r="JE141" t="s">
        <v>791</v>
      </c>
      <c r="JF141">
        <v>0</v>
      </c>
      <c r="JH141" t="s">
        <v>188</v>
      </c>
      <c r="JI141">
        <v>0</v>
      </c>
      <c r="JJ141" t="s">
        <v>188</v>
      </c>
      <c r="JK141">
        <v>137.59</v>
      </c>
      <c r="JL141">
        <v>0</v>
      </c>
      <c r="JM141">
        <v>1</v>
      </c>
    </row>
    <row r="142" spans="1:273" x14ac:dyDescent="0.3">
      <c r="A142" t="s">
        <v>2505</v>
      </c>
      <c r="B142" t="s">
        <v>302</v>
      </c>
      <c r="C142" t="s">
        <v>340</v>
      </c>
      <c r="D142" t="s">
        <v>657</v>
      </c>
      <c r="E142" t="s">
        <v>2487</v>
      </c>
      <c r="F142" t="s">
        <v>592</v>
      </c>
      <c r="G142">
        <v>5</v>
      </c>
      <c r="H142" t="s">
        <v>2488</v>
      </c>
      <c r="I142" t="s">
        <v>594</v>
      </c>
      <c r="J142" t="s">
        <v>993</v>
      </c>
      <c r="L142" t="s">
        <v>2489</v>
      </c>
      <c r="M142" t="s">
        <v>2490</v>
      </c>
      <c r="N142">
        <v>1</v>
      </c>
      <c r="O142">
        <v>1</v>
      </c>
      <c r="P142">
        <v>1</v>
      </c>
      <c r="Q142">
        <v>8</v>
      </c>
      <c r="R142">
        <v>2</v>
      </c>
      <c r="S142">
        <v>0</v>
      </c>
      <c r="T142">
        <v>0</v>
      </c>
      <c r="U142">
        <v>0</v>
      </c>
      <c r="V142" t="s">
        <v>188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 t="s">
        <v>596</v>
      </c>
      <c r="AI142">
        <v>1</v>
      </c>
      <c r="AJ142" t="s">
        <v>199</v>
      </c>
      <c r="AK142">
        <v>1</v>
      </c>
      <c r="AL142">
        <v>22.5</v>
      </c>
      <c r="AM142">
        <v>110.8</v>
      </c>
      <c r="AN142">
        <v>0</v>
      </c>
      <c r="AO142">
        <v>0</v>
      </c>
      <c r="AP142">
        <v>0</v>
      </c>
      <c r="AQ142">
        <v>150</v>
      </c>
      <c r="AR142">
        <v>132.5</v>
      </c>
      <c r="AS142">
        <v>76</v>
      </c>
      <c r="AT142">
        <v>66.8</v>
      </c>
      <c r="AU142">
        <v>0</v>
      </c>
      <c r="AV142">
        <v>0</v>
      </c>
      <c r="AW142">
        <v>78.290000000000006</v>
      </c>
      <c r="AX142">
        <v>103.56</v>
      </c>
      <c r="AY142">
        <v>118.98</v>
      </c>
      <c r="AZ142">
        <v>7.94</v>
      </c>
      <c r="BA142">
        <v>132.5</v>
      </c>
      <c r="BB142">
        <v>0</v>
      </c>
      <c r="BC142">
        <v>19</v>
      </c>
      <c r="BD142">
        <v>130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1400</v>
      </c>
      <c r="BN142">
        <v>2200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2200</v>
      </c>
      <c r="BV142">
        <v>400</v>
      </c>
      <c r="BW142" t="s">
        <v>188</v>
      </c>
      <c r="BX142">
        <v>0</v>
      </c>
      <c r="BY142" t="s">
        <v>2490</v>
      </c>
      <c r="CA142">
        <v>2200</v>
      </c>
      <c r="CB142">
        <v>132.5</v>
      </c>
      <c r="CC142">
        <v>110.8</v>
      </c>
      <c r="CD142" t="s">
        <v>188</v>
      </c>
      <c r="CE142" t="s">
        <v>2491</v>
      </c>
      <c r="CF142" t="s">
        <v>2492</v>
      </c>
      <c r="CG142" t="s">
        <v>2506</v>
      </c>
      <c r="CI142" t="s">
        <v>2494</v>
      </c>
      <c r="CK142">
        <v>10</v>
      </c>
      <c r="CL142" t="s">
        <v>2507</v>
      </c>
      <c r="CM142" t="s">
        <v>2508</v>
      </c>
      <c r="CN142" t="s">
        <v>2509</v>
      </c>
      <c r="CO142">
        <v>0</v>
      </c>
      <c r="CP142" t="s">
        <v>188</v>
      </c>
      <c r="CQ142" t="s">
        <v>188</v>
      </c>
      <c r="CR142">
        <v>0.5</v>
      </c>
      <c r="CS142">
        <v>0</v>
      </c>
      <c r="CT142" t="s">
        <v>2498</v>
      </c>
      <c r="CX142">
        <v>0</v>
      </c>
      <c r="CY142">
        <v>1700</v>
      </c>
      <c r="CZ142">
        <v>0</v>
      </c>
      <c r="DA142">
        <v>0</v>
      </c>
      <c r="DB142" t="s">
        <v>2499</v>
      </c>
      <c r="DC142">
        <v>0</v>
      </c>
      <c r="DD142">
        <v>0</v>
      </c>
      <c r="DI142" t="s">
        <v>2500</v>
      </c>
      <c r="DJ142" t="s">
        <v>2501</v>
      </c>
      <c r="DK142">
        <v>100</v>
      </c>
      <c r="DQ142" t="s">
        <v>2502</v>
      </c>
      <c r="DR142">
        <v>150</v>
      </c>
      <c r="DS142">
        <v>0</v>
      </c>
      <c r="DT142">
        <v>0</v>
      </c>
      <c r="DU142">
        <v>0</v>
      </c>
      <c r="DV142">
        <v>0</v>
      </c>
      <c r="EW142" t="s">
        <v>188</v>
      </c>
      <c r="EX142" t="s">
        <v>188</v>
      </c>
      <c r="EY142" t="s">
        <v>188</v>
      </c>
      <c r="EZ142" t="s">
        <v>188</v>
      </c>
      <c r="FA142">
        <v>4</v>
      </c>
      <c r="FB142" t="s">
        <v>188</v>
      </c>
      <c r="FE142">
        <v>1.1111111111111099E+23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 t="s">
        <v>188</v>
      </c>
      <c r="GF142" t="s">
        <v>188</v>
      </c>
      <c r="GG142" t="s">
        <v>188</v>
      </c>
      <c r="GH142" s="1">
        <v>44648</v>
      </c>
      <c r="GI142" t="s">
        <v>608</v>
      </c>
      <c r="GJ142" t="s">
        <v>609</v>
      </c>
      <c r="GK142" t="s">
        <v>610</v>
      </c>
      <c r="GL142">
        <v>0</v>
      </c>
      <c r="GM142">
        <v>0</v>
      </c>
      <c r="GN142">
        <v>152.4</v>
      </c>
      <c r="GO142">
        <v>101.6</v>
      </c>
      <c r="GP142">
        <v>0</v>
      </c>
      <c r="GQ142" t="s">
        <v>611</v>
      </c>
      <c r="GR142" s="1">
        <v>45098</v>
      </c>
      <c r="GV142" t="s">
        <v>188</v>
      </c>
      <c r="GW142" t="s">
        <v>188</v>
      </c>
      <c r="GX142" t="s">
        <v>188</v>
      </c>
      <c r="GY142" t="s">
        <v>188</v>
      </c>
      <c r="GZ142" t="s">
        <v>188</v>
      </c>
      <c r="HA142" t="s">
        <v>188</v>
      </c>
      <c r="HB142" t="s">
        <v>188</v>
      </c>
      <c r="HC142" t="s">
        <v>188</v>
      </c>
      <c r="HD142" t="s">
        <v>188</v>
      </c>
      <c r="HE142" t="s">
        <v>188</v>
      </c>
      <c r="HH142">
        <v>0</v>
      </c>
      <c r="HI142">
        <v>0</v>
      </c>
      <c r="HJ142">
        <v>131.6</v>
      </c>
      <c r="HK142">
        <v>90.84</v>
      </c>
      <c r="HL142">
        <v>128.07</v>
      </c>
      <c r="HN142" t="s">
        <v>188</v>
      </c>
      <c r="IS142">
        <v>0</v>
      </c>
      <c r="IT142">
        <v>0</v>
      </c>
      <c r="IU142">
        <v>0</v>
      </c>
      <c r="IV142">
        <v>0</v>
      </c>
      <c r="IW142">
        <v>0</v>
      </c>
      <c r="IX142" t="s">
        <v>2510</v>
      </c>
      <c r="IY142">
        <v>0</v>
      </c>
      <c r="IZ142">
        <v>0</v>
      </c>
      <c r="JA142">
        <v>0</v>
      </c>
      <c r="JB142">
        <v>0</v>
      </c>
      <c r="JC142" t="s">
        <v>613</v>
      </c>
      <c r="JD142" t="s">
        <v>2511</v>
      </c>
      <c r="JE142" t="s">
        <v>791</v>
      </c>
      <c r="JF142">
        <v>0</v>
      </c>
      <c r="JH142" t="s">
        <v>188</v>
      </c>
      <c r="JI142">
        <v>0</v>
      </c>
      <c r="JJ142" t="s">
        <v>188</v>
      </c>
      <c r="JK142">
        <v>137.59</v>
      </c>
      <c r="JL142">
        <v>0</v>
      </c>
      <c r="JM142">
        <v>1</v>
      </c>
    </row>
    <row r="143" spans="1:273" x14ac:dyDescent="0.3">
      <c r="A143" t="s">
        <v>2512</v>
      </c>
      <c r="B143" t="s">
        <v>302</v>
      </c>
      <c r="C143" t="s">
        <v>340</v>
      </c>
      <c r="D143" t="s">
        <v>590</v>
      </c>
      <c r="E143" t="s">
        <v>2487</v>
      </c>
      <c r="F143" t="s">
        <v>659</v>
      </c>
      <c r="G143">
        <v>6</v>
      </c>
      <c r="H143" t="s">
        <v>2513</v>
      </c>
      <c r="I143" t="s">
        <v>594</v>
      </c>
      <c r="J143" t="s">
        <v>661</v>
      </c>
      <c r="N143">
        <v>1</v>
      </c>
      <c r="O143">
        <v>1</v>
      </c>
      <c r="P143">
        <v>1</v>
      </c>
      <c r="Q143">
        <v>13</v>
      </c>
      <c r="R143">
        <v>2</v>
      </c>
      <c r="S143">
        <v>0</v>
      </c>
      <c r="T143">
        <v>0</v>
      </c>
      <c r="U143">
        <v>0</v>
      </c>
      <c r="V143" t="s">
        <v>188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0</v>
      </c>
      <c r="AG143">
        <v>0</v>
      </c>
      <c r="AH143" t="s">
        <v>596</v>
      </c>
      <c r="AI143">
        <v>1</v>
      </c>
      <c r="AJ143" t="s">
        <v>199</v>
      </c>
      <c r="AK143">
        <v>1</v>
      </c>
      <c r="AL143">
        <v>20.399999999999999</v>
      </c>
      <c r="AM143">
        <v>118.1</v>
      </c>
      <c r="AN143">
        <v>0</v>
      </c>
      <c r="AO143">
        <v>0</v>
      </c>
      <c r="AP143">
        <v>0</v>
      </c>
      <c r="AQ143">
        <v>0</v>
      </c>
      <c r="AR143">
        <v>134.30000000000001</v>
      </c>
      <c r="AS143">
        <v>94.4</v>
      </c>
      <c r="AT143">
        <v>71.45</v>
      </c>
      <c r="AU143">
        <v>0</v>
      </c>
      <c r="AV143">
        <v>0</v>
      </c>
      <c r="AW143">
        <v>88.49</v>
      </c>
      <c r="AX143">
        <v>128.99</v>
      </c>
      <c r="AY143">
        <v>156.63</v>
      </c>
      <c r="AZ143">
        <v>8.58</v>
      </c>
      <c r="BA143">
        <v>142.69999999999999</v>
      </c>
      <c r="BB143">
        <v>0</v>
      </c>
      <c r="BC143">
        <v>23</v>
      </c>
      <c r="BD143">
        <v>175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330</v>
      </c>
      <c r="BL143">
        <v>0</v>
      </c>
      <c r="BM143">
        <v>1200</v>
      </c>
      <c r="BN143">
        <v>2950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2950</v>
      </c>
      <c r="BV143">
        <v>330</v>
      </c>
      <c r="BW143" t="s">
        <v>188</v>
      </c>
      <c r="BX143">
        <v>0</v>
      </c>
      <c r="BY143" t="s">
        <v>2512</v>
      </c>
      <c r="CA143">
        <v>2950</v>
      </c>
      <c r="CB143">
        <v>142.69999999999999</v>
      </c>
      <c r="CC143">
        <v>117.9</v>
      </c>
      <c r="CD143" t="s">
        <v>188</v>
      </c>
      <c r="CE143" t="s">
        <v>2514</v>
      </c>
      <c r="CF143" t="s">
        <v>2515</v>
      </c>
      <c r="CG143" t="s">
        <v>2516</v>
      </c>
      <c r="CI143" t="s">
        <v>2517</v>
      </c>
      <c r="CK143">
        <v>10</v>
      </c>
      <c r="CL143" t="s">
        <v>2518</v>
      </c>
      <c r="CM143" t="s">
        <v>2519</v>
      </c>
      <c r="CN143" t="s">
        <v>2520</v>
      </c>
      <c r="CO143">
        <v>0</v>
      </c>
      <c r="CP143" t="s">
        <v>188</v>
      </c>
      <c r="CQ143" t="s">
        <v>188</v>
      </c>
      <c r="CR143">
        <v>15</v>
      </c>
      <c r="CS143">
        <v>0</v>
      </c>
      <c r="CX143">
        <v>0</v>
      </c>
      <c r="CY143">
        <v>0</v>
      </c>
      <c r="CZ143">
        <v>0</v>
      </c>
      <c r="DA143">
        <v>0</v>
      </c>
      <c r="DC143">
        <v>0</v>
      </c>
      <c r="DD143">
        <v>0</v>
      </c>
      <c r="DI143" t="s">
        <v>2521</v>
      </c>
      <c r="DJ143" t="s">
        <v>2522</v>
      </c>
      <c r="DQ143" t="s">
        <v>2523</v>
      </c>
      <c r="DR143">
        <v>185</v>
      </c>
      <c r="EW143" t="s">
        <v>188</v>
      </c>
      <c r="EX143" t="s">
        <v>188</v>
      </c>
      <c r="EY143" t="s">
        <v>188</v>
      </c>
      <c r="EZ143" t="s">
        <v>188</v>
      </c>
      <c r="FA143">
        <v>4</v>
      </c>
      <c r="FB143" t="s">
        <v>188</v>
      </c>
      <c r="FC143" t="s">
        <v>681</v>
      </c>
      <c r="FD143" t="s">
        <v>682</v>
      </c>
      <c r="FE143">
        <v>1.1111111111111101E+31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 t="s">
        <v>188</v>
      </c>
      <c r="GF143" t="s">
        <v>188</v>
      </c>
      <c r="GG143" t="s">
        <v>188</v>
      </c>
      <c r="GH143" s="1">
        <v>45162</v>
      </c>
      <c r="GJ143" t="s">
        <v>610</v>
      </c>
      <c r="GK143" t="s">
        <v>610</v>
      </c>
      <c r="GL143">
        <v>0</v>
      </c>
      <c r="GM143">
        <v>0</v>
      </c>
      <c r="GN143">
        <v>0</v>
      </c>
      <c r="GO143">
        <v>0</v>
      </c>
      <c r="GP143">
        <v>0</v>
      </c>
      <c r="GR143" s="1">
        <v>45168</v>
      </c>
      <c r="GV143" t="s">
        <v>188</v>
      </c>
      <c r="GW143" t="s">
        <v>188</v>
      </c>
      <c r="GX143" t="s">
        <v>188</v>
      </c>
      <c r="GY143" t="s">
        <v>188</v>
      </c>
      <c r="GZ143" t="s">
        <v>188</v>
      </c>
      <c r="HA143" t="s">
        <v>188</v>
      </c>
      <c r="HB143" t="s">
        <v>188</v>
      </c>
      <c r="HC143" t="s">
        <v>188</v>
      </c>
      <c r="HD143" t="s">
        <v>188</v>
      </c>
      <c r="HE143" t="s">
        <v>188</v>
      </c>
      <c r="HH143">
        <v>0</v>
      </c>
      <c r="HI143">
        <v>0</v>
      </c>
      <c r="HJ143">
        <v>148.4</v>
      </c>
      <c r="HK143">
        <v>113.44</v>
      </c>
      <c r="HL143">
        <v>170.81</v>
      </c>
      <c r="HN143" t="s">
        <v>188</v>
      </c>
      <c r="IS143">
        <v>0</v>
      </c>
      <c r="IT143">
        <v>0</v>
      </c>
      <c r="IU143">
        <v>0</v>
      </c>
      <c r="IV143">
        <v>0</v>
      </c>
      <c r="IW143">
        <v>0</v>
      </c>
      <c r="IX143" t="s">
        <v>2524</v>
      </c>
      <c r="IY143">
        <v>0</v>
      </c>
      <c r="IZ143">
        <v>0</v>
      </c>
      <c r="JA143">
        <v>0</v>
      </c>
      <c r="JB143">
        <v>0</v>
      </c>
      <c r="JC143" t="s">
        <v>613</v>
      </c>
      <c r="JD143" t="s">
        <v>2525</v>
      </c>
      <c r="JE143" t="s">
        <v>2526</v>
      </c>
      <c r="JF143">
        <v>0</v>
      </c>
      <c r="JG143" t="s">
        <v>2527</v>
      </c>
      <c r="JH143" t="s">
        <v>188</v>
      </c>
      <c r="JI143">
        <v>0</v>
      </c>
      <c r="JJ143" t="s">
        <v>188</v>
      </c>
      <c r="JK143">
        <v>181.87</v>
      </c>
      <c r="JL143">
        <v>0</v>
      </c>
      <c r="JM143">
        <v>1</v>
      </c>
    </row>
    <row r="144" spans="1:273" x14ac:dyDescent="0.3">
      <c r="A144" t="s">
        <v>2528</v>
      </c>
      <c r="B144" t="s">
        <v>302</v>
      </c>
      <c r="C144" t="s">
        <v>340</v>
      </c>
      <c r="D144" t="s">
        <v>657</v>
      </c>
      <c r="E144" t="s">
        <v>2487</v>
      </c>
      <c r="F144" t="s">
        <v>592</v>
      </c>
      <c r="G144">
        <v>5</v>
      </c>
      <c r="H144" t="s">
        <v>2529</v>
      </c>
      <c r="I144" t="s">
        <v>594</v>
      </c>
      <c r="J144" t="s">
        <v>993</v>
      </c>
      <c r="L144" t="s">
        <v>2489</v>
      </c>
      <c r="M144" t="s">
        <v>2490</v>
      </c>
      <c r="N144">
        <v>1</v>
      </c>
      <c r="O144">
        <v>1</v>
      </c>
      <c r="P144">
        <v>1</v>
      </c>
      <c r="Q144">
        <v>8</v>
      </c>
      <c r="R144">
        <v>2</v>
      </c>
      <c r="S144">
        <v>0</v>
      </c>
      <c r="T144">
        <v>0</v>
      </c>
      <c r="U144">
        <v>0</v>
      </c>
      <c r="V144" t="s">
        <v>188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 t="s">
        <v>596</v>
      </c>
      <c r="AI144">
        <v>1</v>
      </c>
      <c r="AJ144" t="s">
        <v>199</v>
      </c>
      <c r="AK144">
        <v>1</v>
      </c>
      <c r="AL144">
        <v>29</v>
      </c>
      <c r="AM144">
        <v>163.1</v>
      </c>
      <c r="AN144">
        <v>0</v>
      </c>
      <c r="AO144">
        <v>0</v>
      </c>
      <c r="AP144">
        <v>0</v>
      </c>
      <c r="AQ144">
        <v>150</v>
      </c>
      <c r="AR144">
        <v>80</v>
      </c>
      <c r="AS144">
        <v>50.6</v>
      </c>
      <c r="AT144">
        <v>76.349999999999994</v>
      </c>
      <c r="AU144">
        <v>0</v>
      </c>
      <c r="AV144">
        <v>0</v>
      </c>
      <c r="AW144">
        <v>137.81</v>
      </c>
      <c r="AX144">
        <v>59</v>
      </c>
      <c r="AY144">
        <v>104.41</v>
      </c>
      <c r="AZ144">
        <v>8</v>
      </c>
      <c r="BA144">
        <v>80</v>
      </c>
      <c r="BB144">
        <v>0</v>
      </c>
      <c r="BC144">
        <v>31</v>
      </c>
      <c r="BD144">
        <v>137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900</v>
      </c>
      <c r="BN144">
        <v>1750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1750</v>
      </c>
      <c r="BV144">
        <v>400</v>
      </c>
      <c r="BW144" t="s">
        <v>188</v>
      </c>
      <c r="BX144">
        <v>0</v>
      </c>
      <c r="BY144" t="s">
        <v>2490</v>
      </c>
      <c r="CA144">
        <v>1750</v>
      </c>
      <c r="CB144">
        <v>80</v>
      </c>
      <c r="CC144">
        <v>163.1</v>
      </c>
      <c r="CD144" t="s">
        <v>188</v>
      </c>
      <c r="CE144" t="s">
        <v>2530</v>
      </c>
      <c r="CF144" t="s">
        <v>2531</v>
      </c>
      <c r="CG144" t="s">
        <v>2532</v>
      </c>
      <c r="CI144" t="s">
        <v>2533</v>
      </c>
      <c r="CK144">
        <v>10</v>
      </c>
      <c r="CL144" t="s">
        <v>2534</v>
      </c>
      <c r="CM144" t="s">
        <v>2535</v>
      </c>
      <c r="CN144" t="s">
        <v>2536</v>
      </c>
      <c r="CO144">
        <v>0</v>
      </c>
      <c r="CP144" t="s">
        <v>188</v>
      </c>
      <c r="CQ144" t="s">
        <v>188</v>
      </c>
      <c r="CR144">
        <v>0</v>
      </c>
      <c r="CS144">
        <v>0</v>
      </c>
      <c r="CT144" t="s">
        <v>2498</v>
      </c>
      <c r="CX144">
        <v>0</v>
      </c>
      <c r="CY144">
        <v>1700</v>
      </c>
      <c r="CZ144">
        <v>0</v>
      </c>
      <c r="DA144">
        <v>0</v>
      </c>
      <c r="DB144" t="s">
        <v>2499</v>
      </c>
      <c r="DC144">
        <v>0</v>
      </c>
      <c r="DD144">
        <v>0</v>
      </c>
      <c r="DI144" t="s">
        <v>2529</v>
      </c>
      <c r="DK144">
        <v>150</v>
      </c>
      <c r="DQ144" t="s">
        <v>2502</v>
      </c>
      <c r="DR144">
        <v>150</v>
      </c>
      <c r="DS144">
        <v>0</v>
      </c>
      <c r="DT144">
        <v>0</v>
      </c>
      <c r="DU144">
        <v>0</v>
      </c>
      <c r="DV144">
        <v>0</v>
      </c>
      <c r="EW144" t="s">
        <v>188</v>
      </c>
      <c r="EX144" t="s">
        <v>188</v>
      </c>
      <c r="EY144" t="s">
        <v>188</v>
      </c>
      <c r="EZ144" t="s">
        <v>188</v>
      </c>
      <c r="FA144">
        <v>4</v>
      </c>
      <c r="FB144" t="s">
        <v>188</v>
      </c>
      <c r="FC144" t="s">
        <v>681</v>
      </c>
      <c r="FD144" t="s">
        <v>682</v>
      </c>
      <c r="FE144">
        <v>1.11111111111111E+19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 t="s">
        <v>188</v>
      </c>
      <c r="GF144" t="s">
        <v>188</v>
      </c>
      <c r="GG144" t="s">
        <v>188</v>
      </c>
      <c r="GH144" s="1">
        <v>44648</v>
      </c>
      <c r="GI144" t="s">
        <v>608</v>
      </c>
      <c r="GJ144" t="s">
        <v>609</v>
      </c>
      <c r="GK144" t="s">
        <v>610</v>
      </c>
      <c r="GL144">
        <v>0</v>
      </c>
      <c r="GM144">
        <v>0</v>
      </c>
      <c r="GN144">
        <v>152.4</v>
      </c>
      <c r="GO144">
        <v>101.6</v>
      </c>
      <c r="GP144">
        <v>0</v>
      </c>
      <c r="GQ144" t="s">
        <v>611</v>
      </c>
      <c r="GR144" s="1">
        <v>45098</v>
      </c>
      <c r="GV144" t="s">
        <v>188</v>
      </c>
      <c r="GW144" t="s">
        <v>188</v>
      </c>
      <c r="GX144" t="s">
        <v>188</v>
      </c>
      <c r="GY144" t="s">
        <v>188</v>
      </c>
      <c r="GZ144" t="s">
        <v>188</v>
      </c>
      <c r="HA144" t="s">
        <v>188</v>
      </c>
      <c r="HB144" t="s">
        <v>188</v>
      </c>
      <c r="HC144" t="s">
        <v>188</v>
      </c>
      <c r="HD144" t="s">
        <v>188</v>
      </c>
      <c r="HE144" t="s">
        <v>188</v>
      </c>
      <c r="HH144">
        <v>0</v>
      </c>
      <c r="HI144">
        <v>0</v>
      </c>
      <c r="HJ144">
        <v>79.05</v>
      </c>
      <c r="HK144">
        <v>49.77</v>
      </c>
      <c r="HL144">
        <v>111.86</v>
      </c>
      <c r="HN144" t="s">
        <v>188</v>
      </c>
      <c r="IS144">
        <v>0</v>
      </c>
      <c r="IT144">
        <v>0</v>
      </c>
      <c r="IU144">
        <v>0</v>
      </c>
      <c r="IV144">
        <v>0</v>
      </c>
      <c r="IW144">
        <v>0</v>
      </c>
      <c r="IX144" t="s">
        <v>2537</v>
      </c>
      <c r="IY144">
        <v>0</v>
      </c>
      <c r="IZ144">
        <v>0</v>
      </c>
      <c r="JA144">
        <v>0</v>
      </c>
      <c r="JB144">
        <v>0</v>
      </c>
      <c r="JC144" t="s">
        <v>613</v>
      </c>
      <c r="JD144" t="s">
        <v>2538</v>
      </c>
      <c r="JE144" t="s">
        <v>2539</v>
      </c>
      <c r="JF144">
        <v>2</v>
      </c>
      <c r="JG144" t="s">
        <v>2540</v>
      </c>
      <c r="JH144" t="s">
        <v>188</v>
      </c>
      <c r="JI144">
        <v>0</v>
      </c>
      <c r="JJ144" t="s">
        <v>188</v>
      </c>
      <c r="JK144">
        <v>110.84</v>
      </c>
      <c r="JL144">
        <v>0</v>
      </c>
      <c r="JM144">
        <v>1</v>
      </c>
    </row>
    <row r="145" spans="1:273" x14ac:dyDescent="0.3">
      <c r="A145" t="s">
        <v>2541</v>
      </c>
      <c r="B145" t="s">
        <v>302</v>
      </c>
      <c r="C145" t="s">
        <v>340</v>
      </c>
      <c r="D145" t="s">
        <v>590</v>
      </c>
      <c r="E145" t="s">
        <v>2487</v>
      </c>
      <c r="F145" t="s">
        <v>659</v>
      </c>
      <c r="G145">
        <v>6</v>
      </c>
      <c r="H145" t="s">
        <v>2542</v>
      </c>
      <c r="I145" t="s">
        <v>594</v>
      </c>
      <c r="J145" t="s">
        <v>661</v>
      </c>
      <c r="N145">
        <v>3</v>
      </c>
      <c r="O145">
        <v>3</v>
      </c>
      <c r="P145">
        <v>1</v>
      </c>
      <c r="Q145">
        <v>13</v>
      </c>
      <c r="R145">
        <v>2</v>
      </c>
      <c r="S145">
        <v>0</v>
      </c>
      <c r="T145">
        <v>0</v>
      </c>
      <c r="U145">
        <v>0</v>
      </c>
      <c r="V145" t="s">
        <v>188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0</v>
      </c>
      <c r="AH145" t="s">
        <v>596</v>
      </c>
      <c r="AI145">
        <v>1</v>
      </c>
      <c r="AJ145" t="s">
        <v>199</v>
      </c>
      <c r="AK145">
        <v>1</v>
      </c>
      <c r="AL145">
        <v>15.2</v>
      </c>
      <c r="AM145">
        <v>228</v>
      </c>
      <c r="AN145">
        <v>0</v>
      </c>
      <c r="AO145">
        <v>0</v>
      </c>
      <c r="AP145">
        <v>0</v>
      </c>
      <c r="AQ145">
        <v>0</v>
      </c>
      <c r="AR145">
        <v>141.19999999999999</v>
      </c>
      <c r="AS145">
        <v>21.2</v>
      </c>
      <c r="AT145">
        <v>75.569999999999993</v>
      </c>
      <c r="AU145">
        <v>0</v>
      </c>
      <c r="AV145">
        <v>0</v>
      </c>
      <c r="AW145">
        <v>168.08</v>
      </c>
      <c r="AX145">
        <v>132.38</v>
      </c>
      <c r="AY145">
        <v>288.66000000000003</v>
      </c>
      <c r="AZ145">
        <v>9.32</v>
      </c>
      <c r="BA145">
        <v>141.19999999999999</v>
      </c>
      <c r="BB145">
        <v>0</v>
      </c>
      <c r="BC145">
        <v>23</v>
      </c>
      <c r="BD145">
        <v>169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1000</v>
      </c>
      <c r="BN145">
        <v>2200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2200</v>
      </c>
      <c r="BV145">
        <v>440</v>
      </c>
      <c r="BW145" t="s">
        <v>188</v>
      </c>
      <c r="BX145">
        <v>0</v>
      </c>
      <c r="BY145" t="s">
        <v>2543</v>
      </c>
      <c r="CA145" t="s">
        <v>2544</v>
      </c>
      <c r="CB145" t="s">
        <v>2545</v>
      </c>
      <c r="CC145" t="s">
        <v>2546</v>
      </c>
      <c r="CD145" t="s">
        <v>188</v>
      </c>
      <c r="CE145" t="s">
        <v>2547</v>
      </c>
      <c r="CF145" t="s">
        <v>2548</v>
      </c>
      <c r="CG145" t="s">
        <v>2549</v>
      </c>
      <c r="CI145" t="s">
        <v>2550</v>
      </c>
      <c r="CK145" t="s">
        <v>2551</v>
      </c>
      <c r="CL145" t="s">
        <v>2552</v>
      </c>
      <c r="CM145" t="s">
        <v>2553</v>
      </c>
      <c r="CN145" t="s">
        <v>2554</v>
      </c>
      <c r="CO145" t="s">
        <v>674</v>
      </c>
      <c r="CP145" t="s">
        <v>188</v>
      </c>
      <c r="CQ145" t="s">
        <v>188</v>
      </c>
      <c r="CR145">
        <v>20</v>
      </c>
      <c r="CS145">
        <v>0</v>
      </c>
      <c r="CX145">
        <v>0</v>
      </c>
      <c r="CY145">
        <v>0</v>
      </c>
      <c r="CZ145">
        <v>0</v>
      </c>
      <c r="DA145">
        <v>0</v>
      </c>
      <c r="DC145">
        <v>0</v>
      </c>
      <c r="DD145">
        <v>0</v>
      </c>
      <c r="DI145" t="s">
        <v>2555</v>
      </c>
      <c r="DJ145" t="s">
        <v>2556</v>
      </c>
      <c r="DQ145" t="s">
        <v>2557</v>
      </c>
      <c r="DR145">
        <v>300</v>
      </c>
      <c r="EW145" t="s">
        <v>188</v>
      </c>
      <c r="EX145" t="s">
        <v>188</v>
      </c>
      <c r="EY145" t="s">
        <v>188</v>
      </c>
      <c r="EZ145" t="s">
        <v>188</v>
      </c>
      <c r="FA145">
        <v>4</v>
      </c>
      <c r="FB145" t="s">
        <v>188</v>
      </c>
      <c r="FC145" t="s">
        <v>681</v>
      </c>
      <c r="FD145" t="s">
        <v>682</v>
      </c>
      <c r="FE145">
        <v>1.11111111111111E+27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 t="s">
        <v>188</v>
      </c>
      <c r="GF145" t="s">
        <v>188</v>
      </c>
      <c r="GG145" t="s">
        <v>188</v>
      </c>
      <c r="GH145" s="1">
        <v>45162</v>
      </c>
      <c r="GJ145" t="s">
        <v>610</v>
      </c>
      <c r="GK145" t="s">
        <v>610</v>
      </c>
      <c r="GL145">
        <v>0</v>
      </c>
      <c r="GM145">
        <v>0</v>
      </c>
      <c r="GN145">
        <v>200</v>
      </c>
      <c r="GO145">
        <v>150</v>
      </c>
      <c r="GP145">
        <v>0</v>
      </c>
      <c r="GR145" s="1">
        <v>45168</v>
      </c>
      <c r="GV145" t="s">
        <v>188</v>
      </c>
      <c r="GW145" t="s">
        <v>188</v>
      </c>
      <c r="GX145" t="s">
        <v>188</v>
      </c>
      <c r="GY145" t="s">
        <v>188</v>
      </c>
      <c r="GZ145" t="s">
        <v>188</v>
      </c>
      <c r="HA145" t="s">
        <v>188</v>
      </c>
      <c r="HB145" t="s">
        <v>188</v>
      </c>
      <c r="HC145" t="s">
        <v>188</v>
      </c>
      <c r="HD145" t="s">
        <v>188</v>
      </c>
      <c r="HE145" t="s">
        <v>188</v>
      </c>
      <c r="HH145">
        <v>0</v>
      </c>
      <c r="HI145">
        <v>0</v>
      </c>
      <c r="HJ145">
        <v>144.16</v>
      </c>
      <c r="HK145">
        <v>118.25</v>
      </c>
      <c r="HL145">
        <v>317.37</v>
      </c>
      <c r="HN145" t="s">
        <v>188</v>
      </c>
      <c r="IS145">
        <v>0</v>
      </c>
      <c r="IT145">
        <v>0</v>
      </c>
      <c r="IU145">
        <v>0</v>
      </c>
      <c r="IV145">
        <v>0</v>
      </c>
      <c r="IW145">
        <v>0</v>
      </c>
      <c r="IX145" t="s">
        <v>2558</v>
      </c>
      <c r="IY145">
        <v>0</v>
      </c>
      <c r="IZ145">
        <v>0</v>
      </c>
      <c r="JA145">
        <v>0</v>
      </c>
      <c r="JB145">
        <v>0</v>
      </c>
      <c r="JC145" t="s">
        <v>613</v>
      </c>
      <c r="JD145" t="s">
        <v>2559</v>
      </c>
      <c r="JE145" t="s">
        <v>2560</v>
      </c>
      <c r="JF145">
        <v>0</v>
      </c>
      <c r="JG145" t="s">
        <v>2561</v>
      </c>
      <c r="JH145" t="s">
        <v>188</v>
      </c>
      <c r="JI145">
        <v>0</v>
      </c>
      <c r="JJ145" t="s">
        <v>188</v>
      </c>
      <c r="JK145">
        <v>336.91</v>
      </c>
      <c r="JL145">
        <v>12</v>
      </c>
      <c r="JM145">
        <v>3</v>
      </c>
    </row>
    <row r="146" spans="1:273" x14ac:dyDescent="0.3">
      <c r="A146" t="s">
        <v>2562</v>
      </c>
      <c r="B146" t="s">
        <v>302</v>
      </c>
      <c r="C146" t="s">
        <v>340</v>
      </c>
      <c r="D146" t="s">
        <v>657</v>
      </c>
      <c r="E146" t="s">
        <v>2487</v>
      </c>
      <c r="F146" t="s">
        <v>592</v>
      </c>
      <c r="G146">
        <v>5</v>
      </c>
      <c r="H146" t="s">
        <v>2563</v>
      </c>
      <c r="I146" t="s">
        <v>594</v>
      </c>
      <c r="J146" t="s">
        <v>993</v>
      </c>
      <c r="L146" t="s">
        <v>2489</v>
      </c>
      <c r="M146" t="s">
        <v>2564</v>
      </c>
      <c r="N146">
        <v>1</v>
      </c>
      <c r="O146">
        <v>1</v>
      </c>
      <c r="P146">
        <v>1</v>
      </c>
      <c r="Q146">
        <v>7</v>
      </c>
      <c r="R146">
        <v>2</v>
      </c>
      <c r="S146">
        <v>0</v>
      </c>
      <c r="T146">
        <v>0</v>
      </c>
      <c r="U146">
        <v>0</v>
      </c>
      <c r="V146" t="s">
        <v>188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 t="s">
        <v>596</v>
      </c>
      <c r="AI146">
        <v>1</v>
      </c>
      <c r="AJ146" t="s">
        <v>199</v>
      </c>
      <c r="AK146">
        <v>1</v>
      </c>
      <c r="AL146">
        <v>47</v>
      </c>
      <c r="AM146">
        <v>194</v>
      </c>
      <c r="AN146">
        <v>0</v>
      </c>
      <c r="AO146">
        <v>0</v>
      </c>
      <c r="AP146">
        <v>0</v>
      </c>
      <c r="AQ146">
        <v>300</v>
      </c>
      <c r="AR146">
        <v>132.5</v>
      </c>
      <c r="AS146">
        <v>82.5</v>
      </c>
      <c r="AT146">
        <v>73.2</v>
      </c>
      <c r="AU146">
        <v>0</v>
      </c>
      <c r="AV146">
        <v>0</v>
      </c>
      <c r="AW146">
        <v>159.41</v>
      </c>
      <c r="AX146">
        <v>99.79</v>
      </c>
      <c r="AY146">
        <v>213.03</v>
      </c>
      <c r="AZ146">
        <v>8.2200000000000006</v>
      </c>
      <c r="BA146">
        <v>132.5</v>
      </c>
      <c r="BB146">
        <v>0</v>
      </c>
      <c r="BC146">
        <v>23</v>
      </c>
      <c r="BD146">
        <v>148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1200</v>
      </c>
      <c r="BN146">
        <v>1800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1800</v>
      </c>
      <c r="BV146">
        <v>500</v>
      </c>
      <c r="BW146" t="s">
        <v>188</v>
      </c>
      <c r="BX146">
        <v>0</v>
      </c>
      <c r="BY146" t="s">
        <v>2564</v>
      </c>
      <c r="CA146">
        <v>1800</v>
      </c>
      <c r="CB146">
        <v>132.5</v>
      </c>
      <c r="CC146">
        <v>194</v>
      </c>
      <c r="CD146" t="s">
        <v>188</v>
      </c>
      <c r="CE146" t="s">
        <v>2565</v>
      </c>
      <c r="CF146" t="s">
        <v>2566</v>
      </c>
      <c r="CG146" t="s">
        <v>2567</v>
      </c>
      <c r="CI146" t="s">
        <v>2568</v>
      </c>
      <c r="CK146">
        <v>10</v>
      </c>
      <c r="CL146" t="s">
        <v>2569</v>
      </c>
      <c r="CM146" t="s">
        <v>2570</v>
      </c>
      <c r="CN146" t="s">
        <v>2571</v>
      </c>
      <c r="CO146">
        <v>0</v>
      </c>
      <c r="CP146" t="s">
        <v>188</v>
      </c>
      <c r="CQ146" t="s">
        <v>188</v>
      </c>
      <c r="CR146">
        <v>0.5</v>
      </c>
      <c r="CS146">
        <v>0</v>
      </c>
      <c r="CT146" t="s">
        <v>2572</v>
      </c>
      <c r="CX146">
        <v>0</v>
      </c>
      <c r="CY146">
        <v>1700</v>
      </c>
      <c r="CZ146">
        <v>0</v>
      </c>
      <c r="DA146">
        <v>0</v>
      </c>
      <c r="DB146" t="s">
        <v>2573</v>
      </c>
      <c r="DC146">
        <v>0</v>
      </c>
      <c r="DD146">
        <v>0</v>
      </c>
      <c r="DI146" t="s">
        <v>2574</v>
      </c>
      <c r="DJ146" t="s">
        <v>2575</v>
      </c>
      <c r="DK146">
        <v>150</v>
      </c>
      <c r="DQ146" t="s">
        <v>2576</v>
      </c>
      <c r="DR146">
        <v>300</v>
      </c>
      <c r="DS146">
        <v>0</v>
      </c>
      <c r="DT146">
        <v>0</v>
      </c>
      <c r="DU146">
        <v>0</v>
      </c>
      <c r="DV146">
        <v>0</v>
      </c>
      <c r="EW146" t="s">
        <v>188</v>
      </c>
      <c r="EX146" t="s">
        <v>188</v>
      </c>
      <c r="EY146" t="s">
        <v>188</v>
      </c>
      <c r="EZ146" t="s">
        <v>188</v>
      </c>
      <c r="FA146">
        <v>4</v>
      </c>
      <c r="FB146" t="s">
        <v>188</v>
      </c>
      <c r="FE146">
        <v>1.11111111111111E+27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 t="s">
        <v>188</v>
      </c>
      <c r="GF146" t="s">
        <v>188</v>
      </c>
      <c r="GG146" t="s">
        <v>188</v>
      </c>
      <c r="GH146" s="1">
        <v>44648</v>
      </c>
      <c r="GI146" t="s">
        <v>608</v>
      </c>
      <c r="GJ146" t="s">
        <v>609</v>
      </c>
      <c r="GK146" t="s">
        <v>610</v>
      </c>
      <c r="GL146">
        <v>0</v>
      </c>
      <c r="GM146">
        <v>0</v>
      </c>
      <c r="GN146">
        <v>203.2</v>
      </c>
      <c r="GO146">
        <v>152.4</v>
      </c>
      <c r="GP146">
        <v>0</v>
      </c>
      <c r="GQ146" t="s">
        <v>611</v>
      </c>
      <c r="GR146" s="1">
        <v>44872</v>
      </c>
      <c r="GV146" t="s">
        <v>188</v>
      </c>
      <c r="GW146" t="s">
        <v>188</v>
      </c>
      <c r="GX146" t="s">
        <v>188</v>
      </c>
      <c r="GY146" t="s">
        <v>188</v>
      </c>
      <c r="GZ146" t="s">
        <v>188</v>
      </c>
      <c r="HA146" t="s">
        <v>188</v>
      </c>
      <c r="HB146" t="s">
        <v>188</v>
      </c>
      <c r="HC146" t="s">
        <v>188</v>
      </c>
      <c r="HD146" t="s">
        <v>188</v>
      </c>
      <c r="HE146" t="s">
        <v>188</v>
      </c>
      <c r="HH146">
        <v>0</v>
      </c>
      <c r="HI146">
        <v>0</v>
      </c>
      <c r="HJ146">
        <v>131.24</v>
      </c>
      <c r="HK146">
        <v>84</v>
      </c>
      <c r="HL146">
        <v>223.3</v>
      </c>
      <c r="HN146" t="s">
        <v>188</v>
      </c>
      <c r="IS146">
        <v>0</v>
      </c>
      <c r="IT146">
        <v>0</v>
      </c>
      <c r="IU146">
        <v>0</v>
      </c>
      <c r="IV146">
        <v>0</v>
      </c>
      <c r="IW146">
        <v>0</v>
      </c>
      <c r="IX146" t="s">
        <v>2577</v>
      </c>
      <c r="IY146">
        <v>0</v>
      </c>
      <c r="IZ146">
        <v>0</v>
      </c>
      <c r="JA146">
        <v>0</v>
      </c>
      <c r="JB146">
        <v>0</v>
      </c>
      <c r="JC146" t="s">
        <v>613</v>
      </c>
      <c r="JD146" t="s">
        <v>2578</v>
      </c>
      <c r="JE146" t="s">
        <v>791</v>
      </c>
      <c r="JF146">
        <v>0</v>
      </c>
      <c r="JH146" t="s">
        <v>188</v>
      </c>
      <c r="JI146">
        <v>0</v>
      </c>
      <c r="JJ146" t="s">
        <v>188</v>
      </c>
      <c r="JK146">
        <v>224.16</v>
      </c>
      <c r="JL146">
        <v>0</v>
      </c>
      <c r="JM146">
        <v>1</v>
      </c>
    </row>
    <row r="147" spans="1:273" x14ac:dyDescent="0.3">
      <c r="A147" t="s">
        <v>2579</v>
      </c>
      <c r="B147" t="s">
        <v>302</v>
      </c>
      <c r="C147" t="s">
        <v>340</v>
      </c>
      <c r="D147" t="s">
        <v>657</v>
      </c>
      <c r="E147" t="s">
        <v>2487</v>
      </c>
      <c r="F147" t="s">
        <v>592</v>
      </c>
      <c r="G147">
        <v>5</v>
      </c>
      <c r="H147" t="s">
        <v>2580</v>
      </c>
      <c r="I147" t="s">
        <v>594</v>
      </c>
      <c r="J147" t="s">
        <v>993</v>
      </c>
      <c r="L147" t="s">
        <v>2489</v>
      </c>
      <c r="M147" t="s">
        <v>2564</v>
      </c>
      <c r="N147">
        <v>1</v>
      </c>
      <c r="O147">
        <v>1</v>
      </c>
      <c r="P147">
        <v>1</v>
      </c>
      <c r="Q147">
        <v>8</v>
      </c>
      <c r="R147">
        <v>2</v>
      </c>
      <c r="S147">
        <v>0</v>
      </c>
      <c r="T147">
        <v>0</v>
      </c>
      <c r="U147">
        <v>0</v>
      </c>
      <c r="V147" t="s">
        <v>188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0</v>
      </c>
      <c r="AH147" t="s">
        <v>596</v>
      </c>
      <c r="AI147">
        <v>1</v>
      </c>
      <c r="AJ147" t="s">
        <v>199</v>
      </c>
      <c r="AK147">
        <v>1</v>
      </c>
      <c r="AL147">
        <v>64.099999999999994</v>
      </c>
      <c r="AM147">
        <v>290.89999999999998</v>
      </c>
      <c r="AN147">
        <v>0</v>
      </c>
      <c r="AO147">
        <v>0</v>
      </c>
      <c r="AP147">
        <v>0</v>
      </c>
      <c r="AQ147">
        <v>300</v>
      </c>
      <c r="AR147">
        <v>79.400000000000006</v>
      </c>
      <c r="AS147">
        <v>50.4</v>
      </c>
      <c r="AT147">
        <v>78.89</v>
      </c>
      <c r="AU147">
        <v>0</v>
      </c>
      <c r="AV147">
        <v>0</v>
      </c>
      <c r="AW147">
        <v>237.89</v>
      </c>
      <c r="AX147">
        <v>61.3</v>
      </c>
      <c r="AY147">
        <v>181.21</v>
      </c>
      <c r="AZ147">
        <v>7.7</v>
      </c>
      <c r="BA147">
        <v>79.400000000000006</v>
      </c>
      <c r="BB147">
        <v>0</v>
      </c>
      <c r="BC147">
        <v>31</v>
      </c>
      <c r="BD147">
        <v>148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700</v>
      </c>
      <c r="BN147">
        <v>1400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1400</v>
      </c>
      <c r="BV147">
        <v>500</v>
      </c>
      <c r="BW147" t="s">
        <v>188</v>
      </c>
      <c r="BX147">
        <v>0</v>
      </c>
      <c r="BY147" t="s">
        <v>2579</v>
      </c>
      <c r="CA147">
        <v>1400</v>
      </c>
      <c r="CB147">
        <v>79.400000000000006</v>
      </c>
      <c r="CC147">
        <v>290.89999999999998</v>
      </c>
      <c r="CD147" t="s">
        <v>188</v>
      </c>
      <c r="CE147" t="s">
        <v>2581</v>
      </c>
      <c r="CF147" t="s">
        <v>2582</v>
      </c>
      <c r="CG147" t="s">
        <v>2583</v>
      </c>
      <c r="CI147" t="s">
        <v>2584</v>
      </c>
      <c r="CK147">
        <v>25</v>
      </c>
      <c r="CL147" t="s">
        <v>2585</v>
      </c>
      <c r="CM147" t="s">
        <v>2586</v>
      </c>
      <c r="CN147" t="s">
        <v>2587</v>
      </c>
      <c r="CO147">
        <v>0</v>
      </c>
      <c r="CP147" t="s">
        <v>188</v>
      </c>
      <c r="CQ147" t="s">
        <v>188</v>
      </c>
      <c r="CR147">
        <v>0</v>
      </c>
      <c r="CS147">
        <v>0</v>
      </c>
      <c r="CX147">
        <v>0</v>
      </c>
      <c r="CY147">
        <v>1700</v>
      </c>
      <c r="CZ147">
        <v>0</v>
      </c>
      <c r="DA147">
        <v>0</v>
      </c>
      <c r="DB147" t="s">
        <v>2588</v>
      </c>
      <c r="DC147">
        <v>0</v>
      </c>
      <c r="DD147">
        <v>0</v>
      </c>
      <c r="DI147" t="s">
        <v>2580</v>
      </c>
      <c r="DK147">
        <v>200</v>
      </c>
      <c r="DQ147" t="s">
        <v>2576</v>
      </c>
      <c r="DR147">
        <v>300</v>
      </c>
      <c r="EW147" t="s">
        <v>188</v>
      </c>
      <c r="EX147" t="s">
        <v>188</v>
      </c>
      <c r="EY147" t="s">
        <v>188</v>
      </c>
      <c r="EZ147" t="s">
        <v>188</v>
      </c>
      <c r="FA147">
        <v>4</v>
      </c>
      <c r="FB147" t="s">
        <v>188</v>
      </c>
      <c r="FC147" t="s">
        <v>681</v>
      </c>
      <c r="FD147" t="s">
        <v>682</v>
      </c>
      <c r="FE147">
        <v>1.1111111111111101E+31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 t="s">
        <v>188</v>
      </c>
      <c r="GF147" t="s">
        <v>188</v>
      </c>
      <c r="GG147" t="s">
        <v>188</v>
      </c>
      <c r="GH147" s="1">
        <v>44872</v>
      </c>
      <c r="GI147" t="s">
        <v>608</v>
      </c>
      <c r="GJ147" t="s">
        <v>609</v>
      </c>
      <c r="GK147" t="s">
        <v>610</v>
      </c>
      <c r="GL147">
        <v>0</v>
      </c>
      <c r="GM147">
        <v>0</v>
      </c>
      <c r="GN147">
        <v>203.2</v>
      </c>
      <c r="GO147">
        <v>152.4</v>
      </c>
      <c r="GP147">
        <v>0</v>
      </c>
      <c r="GR147" s="1">
        <v>45098</v>
      </c>
      <c r="GV147" t="s">
        <v>188</v>
      </c>
      <c r="GW147" t="s">
        <v>188</v>
      </c>
      <c r="GX147" t="s">
        <v>188</v>
      </c>
      <c r="GY147" t="s">
        <v>188</v>
      </c>
      <c r="GZ147" t="s">
        <v>188</v>
      </c>
      <c r="HA147" t="s">
        <v>188</v>
      </c>
      <c r="HB147" t="s">
        <v>188</v>
      </c>
      <c r="HC147" t="s">
        <v>188</v>
      </c>
      <c r="HD147" t="s">
        <v>188</v>
      </c>
      <c r="HE147" t="s">
        <v>188</v>
      </c>
      <c r="HH147">
        <v>0</v>
      </c>
      <c r="HI147">
        <v>0</v>
      </c>
      <c r="HJ147">
        <v>80.16</v>
      </c>
      <c r="HK147">
        <v>51.59</v>
      </c>
      <c r="HL147">
        <v>186.48</v>
      </c>
      <c r="HN147" t="s">
        <v>188</v>
      </c>
      <c r="IS147">
        <v>0</v>
      </c>
      <c r="IT147">
        <v>0</v>
      </c>
      <c r="IU147">
        <v>0</v>
      </c>
      <c r="IV147">
        <v>0</v>
      </c>
      <c r="IW147">
        <v>0</v>
      </c>
      <c r="IX147" t="s">
        <v>2589</v>
      </c>
      <c r="IY147">
        <v>0</v>
      </c>
      <c r="IZ147">
        <v>0</v>
      </c>
      <c r="JA147">
        <v>0</v>
      </c>
      <c r="JB147">
        <v>0</v>
      </c>
      <c r="JC147" t="s">
        <v>613</v>
      </c>
      <c r="JD147" t="s">
        <v>2590</v>
      </c>
      <c r="JE147" t="s">
        <v>2591</v>
      </c>
      <c r="JF147">
        <v>2</v>
      </c>
      <c r="JG147" t="s">
        <v>2592</v>
      </c>
      <c r="JH147" t="s">
        <v>188</v>
      </c>
      <c r="JI147">
        <v>0</v>
      </c>
      <c r="JJ147" t="s">
        <v>188</v>
      </c>
      <c r="JK147">
        <v>186.67</v>
      </c>
      <c r="JL147">
        <v>0</v>
      </c>
      <c r="JM147">
        <v>1</v>
      </c>
    </row>
    <row r="148" spans="1:273" x14ac:dyDescent="0.3">
      <c r="A148" t="s">
        <v>2593</v>
      </c>
      <c r="B148" t="s">
        <v>302</v>
      </c>
      <c r="C148" t="s">
        <v>340</v>
      </c>
      <c r="D148" t="s">
        <v>590</v>
      </c>
      <c r="E148" t="s">
        <v>2487</v>
      </c>
      <c r="F148" t="s">
        <v>659</v>
      </c>
      <c r="G148">
        <v>6</v>
      </c>
      <c r="H148" t="s">
        <v>2594</v>
      </c>
      <c r="I148" t="s">
        <v>594</v>
      </c>
      <c r="J148" t="s">
        <v>661</v>
      </c>
      <c r="N148">
        <v>3</v>
      </c>
      <c r="O148">
        <v>3</v>
      </c>
      <c r="P148">
        <v>1</v>
      </c>
      <c r="Q148">
        <v>12</v>
      </c>
      <c r="R148">
        <v>2</v>
      </c>
      <c r="S148">
        <v>0</v>
      </c>
      <c r="T148">
        <v>0</v>
      </c>
      <c r="U148">
        <v>0</v>
      </c>
      <c r="V148" t="s">
        <v>188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 t="s">
        <v>596</v>
      </c>
      <c r="AI148">
        <v>1</v>
      </c>
      <c r="AJ148" t="s">
        <v>199</v>
      </c>
      <c r="AK148">
        <v>1</v>
      </c>
      <c r="AL148">
        <v>52.5</v>
      </c>
      <c r="AM148">
        <v>400</v>
      </c>
      <c r="AN148">
        <v>0</v>
      </c>
      <c r="AO148">
        <v>0</v>
      </c>
      <c r="AP148">
        <v>0</v>
      </c>
      <c r="AQ148">
        <v>0</v>
      </c>
      <c r="AR148">
        <v>144.19999999999999</v>
      </c>
      <c r="AS148">
        <v>103.2</v>
      </c>
      <c r="AT148">
        <v>78.83</v>
      </c>
      <c r="AU148">
        <v>0</v>
      </c>
      <c r="AV148">
        <v>0</v>
      </c>
      <c r="AW148">
        <v>308.70999999999998</v>
      </c>
      <c r="AX148">
        <v>128.88</v>
      </c>
      <c r="AY148">
        <v>494.83</v>
      </c>
      <c r="AZ148">
        <v>9.1999999999999993</v>
      </c>
      <c r="BA148">
        <v>144.19999999999999</v>
      </c>
      <c r="BB148">
        <v>0</v>
      </c>
      <c r="BC148">
        <v>26</v>
      </c>
      <c r="BD148">
        <v>186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600</v>
      </c>
      <c r="BN148">
        <v>1770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1770</v>
      </c>
      <c r="BV148">
        <v>550</v>
      </c>
      <c r="BW148" t="s">
        <v>188</v>
      </c>
      <c r="BX148">
        <v>0</v>
      </c>
      <c r="BY148" t="s">
        <v>2595</v>
      </c>
      <c r="CA148" t="s">
        <v>2596</v>
      </c>
      <c r="CB148" t="s">
        <v>2597</v>
      </c>
      <c r="CC148" t="s">
        <v>2598</v>
      </c>
      <c r="CD148" t="s">
        <v>188</v>
      </c>
      <c r="CE148" t="s">
        <v>2599</v>
      </c>
      <c r="CF148" t="s">
        <v>2600</v>
      </c>
      <c r="CG148" t="s">
        <v>2601</v>
      </c>
      <c r="CI148" t="s">
        <v>2602</v>
      </c>
      <c r="CK148" t="s">
        <v>802</v>
      </c>
      <c r="CL148" t="s">
        <v>2603</v>
      </c>
      <c r="CM148" t="s">
        <v>2604</v>
      </c>
      <c r="CN148" t="s">
        <v>2605</v>
      </c>
      <c r="CO148" t="s">
        <v>674</v>
      </c>
      <c r="CP148" t="s">
        <v>188</v>
      </c>
      <c r="CQ148" t="s">
        <v>188</v>
      </c>
      <c r="CR148">
        <v>30</v>
      </c>
      <c r="CS148">
        <v>0</v>
      </c>
      <c r="CX148">
        <v>0</v>
      </c>
      <c r="CY148">
        <v>0</v>
      </c>
      <c r="CZ148">
        <v>0</v>
      </c>
      <c r="DA148">
        <v>0</v>
      </c>
      <c r="DC148">
        <v>0</v>
      </c>
      <c r="DD148">
        <v>0</v>
      </c>
      <c r="DI148" t="s">
        <v>2606</v>
      </c>
      <c r="DJ148" t="s">
        <v>2607</v>
      </c>
      <c r="DQ148" t="s">
        <v>2608</v>
      </c>
      <c r="DR148">
        <v>400</v>
      </c>
      <c r="EW148" t="s">
        <v>188</v>
      </c>
      <c r="EX148" t="s">
        <v>188</v>
      </c>
      <c r="EY148" t="s">
        <v>188</v>
      </c>
      <c r="EZ148" t="s">
        <v>188</v>
      </c>
      <c r="FA148">
        <v>4</v>
      </c>
      <c r="FB148" t="s">
        <v>188</v>
      </c>
      <c r="FC148" t="s">
        <v>681</v>
      </c>
      <c r="FD148" t="s">
        <v>682</v>
      </c>
      <c r="FE148">
        <v>111111111111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 t="s">
        <v>188</v>
      </c>
      <c r="GF148" t="s">
        <v>188</v>
      </c>
      <c r="GG148" t="s">
        <v>188</v>
      </c>
      <c r="GH148" s="1">
        <v>45162</v>
      </c>
      <c r="GJ148" t="s">
        <v>610</v>
      </c>
      <c r="GK148" t="s">
        <v>610</v>
      </c>
      <c r="GL148">
        <v>0</v>
      </c>
      <c r="GM148">
        <v>0</v>
      </c>
      <c r="GN148">
        <v>250</v>
      </c>
      <c r="GO148">
        <v>200</v>
      </c>
      <c r="GP148">
        <v>0</v>
      </c>
      <c r="GR148" s="1">
        <v>45168</v>
      </c>
      <c r="GV148" t="s">
        <v>188</v>
      </c>
      <c r="GW148" t="s">
        <v>188</v>
      </c>
      <c r="GX148" t="s">
        <v>188</v>
      </c>
      <c r="GY148" t="s">
        <v>188</v>
      </c>
      <c r="GZ148" t="s">
        <v>188</v>
      </c>
      <c r="HA148" t="s">
        <v>188</v>
      </c>
      <c r="HB148" t="s">
        <v>188</v>
      </c>
      <c r="HC148" t="s">
        <v>188</v>
      </c>
      <c r="HD148" t="s">
        <v>188</v>
      </c>
      <c r="HE148" t="s">
        <v>188</v>
      </c>
      <c r="HH148">
        <v>0</v>
      </c>
      <c r="HI148">
        <v>0</v>
      </c>
      <c r="HJ148">
        <v>146.57</v>
      </c>
      <c r="HK148">
        <v>112.74</v>
      </c>
      <c r="HL148">
        <v>537.80999999999995</v>
      </c>
      <c r="HN148" t="s">
        <v>188</v>
      </c>
      <c r="IS148">
        <v>0</v>
      </c>
      <c r="IT148">
        <v>0</v>
      </c>
      <c r="IU148">
        <v>0</v>
      </c>
      <c r="IV148">
        <v>0</v>
      </c>
      <c r="IW148">
        <v>0</v>
      </c>
      <c r="IX148" t="s">
        <v>2609</v>
      </c>
      <c r="IY148">
        <v>0</v>
      </c>
      <c r="IZ148">
        <v>0</v>
      </c>
      <c r="JA148">
        <v>0</v>
      </c>
      <c r="JB148">
        <v>0</v>
      </c>
      <c r="JC148" t="s">
        <v>613</v>
      </c>
      <c r="JD148" t="s">
        <v>2610</v>
      </c>
      <c r="JE148" t="s">
        <v>2611</v>
      </c>
      <c r="JF148">
        <v>0</v>
      </c>
      <c r="JG148" t="s">
        <v>2612</v>
      </c>
      <c r="JH148" t="s">
        <v>188</v>
      </c>
      <c r="JI148">
        <v>0</v>
      </c>
      <c r="JJ148" t="s">
        <v>188</v>
      </c>
      <c r="JK148">
        <v>562.09</v>
      </c>
      <c r="JL148">
        <v>10.5</v>
      </c>
      <c r="JM148">
        <v>3</v>
      </c>
    </row>
    <row r="149" spans="1:273" x14ac:dyDescent="0.3">
      <c r="A149" t="s">
        <v>2613</v>
      </c>
      <c r="B149" t="s">
        <v>302</v>
      </c>
      <c r="C149" t="s">
        <v>340</v>
      </c>
      <c r="D149" t="s">
        <v>657</v>
      </c>
      <c r="E149" t="s">
        <v>2614</v>
      </c>
      <c r="F149" t="s">
        <v>592</v>
      </c>
      <c r="G149">
        <v>5</v>
      </c>
      <c r="H149" t="s">
        <v>2615</v>
      </c>
      <c r="I149" t="s">
        <v>594</v>
      </c>
      <c r="J149" t="s">
        <v>661</v>
      </c>
      <c r="L149" t="s">
        <v>2614</v>
      </c>
      <c r="M149" t="s">
        <v>2616</v>
      </c>
      <c r="N149">
        <v>3</v>
      </c>
      <c r="O149">
        <v>3</v>
      </c>
      <c r="P149">
        <v>1</v>
      </c>
      <c r="Q149">
        <v>9</v>
      </c>
      <c r="R149">
        <v>2</v>
      </c>
      <c r="S149">
        <v>0</v>
      </c>
      <c r="T149">
        <v>0</v>
      </c>
      <c r="U149">
        <v>0</v>
      </c>
      <c r="V149" t="s">
        <v>188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 t="s">
        <v>596</v>
      </c>
      <c r="AI149">
        <v>1</v>
      </c>
      <c r="AJ149" t="s">
        <v>199</v>
      </c>
      <c r="AK149">
        <v>1</v>
      </c>
      <c r="AL149">
        <v>377.2</v>
      </c>
      <c r="AM149">
        <v>2629</v>
      </c>
      <c r="AN149">
        <v>0</v>
      </c>
      <c r="AO149">
        <v>0</v>
      </c>
      <c r="AP149">
        <v>0</v>
      </c>
      <c r="AQ149">
        <v>1400</v>
      </c>
      <c r="AR149">
        <v>51.8</v>
      </c>
      <c r="AS149">
        <v>10</v>
      </c>
      <c r="AT149">
        <v>85.8</v>
      </c>
      <c r="AU149">
        <v>0</v>
      </c>
      <c r="AV149">
        <v>0</v>
      </c>
      <c r="AW149">
        <v>2077.41</v>
      </c>
      <c r="AX149">
        <v>42.05</v>
      </c>
      <c r="AY149">
        <v>998.25</v>
      </c>
      <c r="AZ149">
        <v>11.45</v>
      </c>
      <c r="BA149">
        <v>51.8</v>
      </c>
      <c r="BB149">
        <v>0</v>
      </c>
      <c r="BC149">
        <v>41</v>
      </c>
      <c r="BD149">
        <v>110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250</v>
      </c>
      <c r="BN149">
        <v>475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475</v>
      </c>
      <c r="BV149">
        <v>1230</v>
      </c>
      <c r="BW149" t="s">
        <v>188</v>
      </c>
      <c r="BX149">
        <v>0</v>
      </c>
      <c r="BY149" t="s">
        <v>2617</v>
      </c>
      <c r="CA149" t="s">
        <v>2618</v>
      </c>
      <c r="CB149" t="s">
        <v>2619</v>
      </c>
      <c r="CC149" t="s">
        <v>2620</v>
      </c>
      <c r="CD149" t="s">
        <v>188</v>
      </c>
      <c r="CE149" t="s">
        <v>2621</v>
      </c>
      <c r="CF149" t="s">
        <v>2622</v>
      </c>
      <c r="CG149" t="s">
        <v>2623</v>
      </c>
      <c r="CI149" t="s">
        <v>2624</v>
      </c>
      <c r="CK149" t="s">
        <v>2625</v>
      </c>
      <c r="CL149" t="s">
        <v>2626</v>
      </c>
      <c r="CM149" t="s">
        <v>2627</v>
      </c>
      <c r="CN149" t="s">
        <v>2628</v>
      </c>
      <c r="CO149" t="s">
        <v>674</v>
      </c>
      <c r="CP149" t="s">
        <v>188</v>
      </c>
      <c r="CQ149" t="s">
        <v>188</v>
      </c>
      <c r="CR149">
        <v>205</v>
      </c>
      <c r="CS149">
        <v>0</v>
      </c>
      <c r="CT149" t="s">
        <v>2615</v>
      </c>
      <c r="CU149" t="s">
        <v>2629</v>
      </c>
      <c r="CX149">
        <v>0</v>
      </c>
      <c r="CY149">
        <v>0</v>
      </c>
      <c r="CZ149">
        <v>0</v>
      </c>
      <c r="DA149">
        <v>0</v>
      </c>
      <c r="DB149" t="s">
        <v>2630</v>
      </c>
      <c r="DC149">
        <v>0</v>
      </c>
      <c r="DD149">
        <v>0</v>
      </c>
      <c r="DI149" t="s">
        <v>2631</v>
      </c>
      <c r="DJ149" t="s">
        <v>2632</v>
      </c>
      <c r="DK149" t="s">
        <v>2633</v>
      </c>
      <c r="DQ149" t="s">
        <v>678</v>
      </c>
      <c r="DR149">
        <v>600</v>
      </c>
      <c r="DS149" t="s">
        <v>679</v>
      </c>
      <c r="DT149">
        <v>900</v>
      </c>
      <c r="DU149">
        <v>0</v>
      </c>
      <c r="DV149">
        <v>0</v>
      </c>
      <c r="EW149" t="s">
        <v>188</v>
      </c>
      <c r="EX149" t="s">
        <v>188</v>
      </c>
      <c r="EY149" t="s">
        <v>188</v>
      </c>
      <c r="EZ149" t="s">
        <v>188</v>
      </c>
      <c r="FA149">
        <v>4</v>
      </c>
      <c r="FB149" t="s">
        <v>188</v>
      </c>
      <c r="FC149" t="s">
        <v>681</v>
      </c>
      <c r="FD149" t="s">
        <v>682</v>
      </c>
      <c r="FE149">
        <v>1.1111111111111099E+23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 t="s">
        <v>188</v>
      </c>
      <c r="GF149" t="s">
        <v>188</v>
      </c>
      <c r="GG149" t="s">
        <v>188</v>
      </c>
      <c r="GH149" s="1">
        <v>45098</v>
      </c>
      <c r="GI149" t="s">
        <v>2634</v>
      </c>
      <c r="GJ149" t="s">
        <v>610</v>
      </c>
      <c r="GK149" t="s">
        <v>812</v>
      </c>
      <c r="GL149">
        <v>0</v>
      </c>
      <c r="GM149">
        <v>0</v>
      </c>
      <c r="GN149">
        <v>660.4</v>
      </c>
      <c r="GO149">
        <v>558.79999999999995</v>
      </c>
      <c r="GP149">
        <v>0</v>
      </c>
      <c r="GR149" s="1">
        <v>45362</v>
      </c>
      <c r="GV149" t="s">
        <v>188</v>
      </c>
      <c r="GW149" t="s">
        <v>188</v>
      </c>
      <c r="GX149" t="s">
        <v>188</v>
      </c>
      <c r="GY149" t="s">
        <v>188</v>
      </c>
      <c r="GZ149" t="s">
        <v>188</v>
      </c>
      <c r="HA149" t="s">
        <v>188</v>
      </c>
      <c r="HB149" t="s">
        <v>188</v>
      </c>
      <c r="HC149" t="s">
        <v>188</v>
      </c>
      <c r="HD149" t="s">
        <v>188</v>
      </c>
      <c r="HE149" t="s">
        <v>188</v>
      </c>
      <c r="HH149">
        <v>0</v>
      </c>
      <c r="HI149">
        <v>0</v>
      </c>
      <c r="HJ149">
        <v>52.24</v>
      </c>
      <c r="HK149">
        <v>37.270000000000003</v>
      </c>
      <c r="HL149">
        <v>1091.51</v>
      </c>
      <c r="HN149" t="s">
        <v>188</v>
      </c>
      <c r="IS149">
        <v>0</v>
      </c>
      <c r="IT149">
        <v>0</v>
      </c>
      <c r="IU149">
        <v>0</v>
      </c>
      <c r="IV149">
        <v>0</v>
      </c>
      <c r="IW149">
        <v>0</v>
      </c>
      <c r="IX149" t="s">
        <v>2635</v>
      </c>
      <c r="IY149">
        <v>0</v>
      </c>
      <c r="IZ149">
        <v>0</v>
      </c>
      <c r="JA149">
        <v>0</v>
      </c>
      <c r="JB149">
        <v>0</v>
      </c>
      <c r="JC149" t="s">
        <v>613</v>
      </c>
      <c r="JD149" t="s">
        <v>2636</v>
      </c>
      <c r="JE149" t="s">
        <v>2637</v>
      </c>
      <c r="JF149">
        <v>2</v>
      </c>
      <c r="JG149" t="s">
        <v>2638</v>
      </c>
      <c r="JH149" t="s">
        <v>188</v>
      </c>
      <c r="JI149">
        <v>0</v>
      </c>
      <c r="JJ149" t="s">
        <v>188</v>
      </c>
      <c r="JK149">
        <v>1141.3399999999999</v>
      </c>
      <c r="JL149">
        <v>12</v>
      </c>
      <c r="JM149">
        <v>3</v>
      </c>
    </row>
    <row r="150" spans="1:273" x14ac:dyDescent="0.3">
      <c r="A150" t="s">
        <v>2639</v>
      </c>
      <c r="B150" t="s">
        <v>302</v>
      </c>
      <c r="C150" t="s">
        <v>340</v>
      </c>
      <c r="D150" t="s">
        <v>657</v>
      </c>
      <c r="E150" t="s">
        <v>2614</v>
      </c>
      <c r="F150" t="s">
        <v>659</v>
      </c>
      <c r="G150">
        <v>5</v>
      </c>
      <c r="H150" t="s">
        <v>2640</v>
      </c>
      <c r="I150" t="s">
        <v>594</v>
      </c>
      <c r="J150" t="s">
        <v>661</v>
      </c>
      <c r="L150" t="s">
        <v>2614</v>
      </c>
      <c r="M150" t="s">
        <v>2641</v>
      </c>
      <c r="N150">
        <v>3</v>
      </c>
      <c r="O150">
        <v>3</v>
      </c>
      <c r="P150">
        <v>1</v>
      </c>
      <c r="Q150">
        <v>9</v>
      </c>
      <c r="R150">
        <v>2</v>
      </c>
      <c r="S150">
        <v>0</v>
      </c>
      <c r="T150">
        <v>0</v>
      </c>
      <c r="U150">
        <v>0</v>
      </c>
      <c r="V150" t="s">
        <v>188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 t="s">
        <v>596</v>
      </c>
      <c r="AI150">
        <v>1</v>
      </c>
      <c r="AJ150" t="s">
        <v>199</v>
      </c>
      <c r="AK150">
        <v>1</v>
      </c>
      <c r="AL150">
        <v>267.5</v>
      </c>
      <c r="AM150">
        <v>2325</v>
      </c>
      <c r="AN150">
        <v>0</v>
      </c>
      <c r="AO150">
        <v>0</v>
      </c>
      <c r="AP150">
        <v>0</v>
      </c>
      <c r="AQ150">
        <v>0</v>
      </c>
      <c r="AR150">
        <v>41.8</v>
      </c>
      <c r="AS150">
        <v>10.6</v>
      </c>
      <c r="AT150">
        <v>87.83</v>
      </c>
      <c r="AU150">
        <v>0</v>
      </c>
      <c r="AV150">
        <v>0</v>
      </c>
      <c r="AW150">
        <v>1880.76</v>
      </c>
      <c r="AX150">
        <v>35.79</v>
      </c>
      <c r="AY150">
        <v>751.32</v>
      </c>
      <c r="AZ150">
        <v>9.4</v>
      </c>
      <c r="BA150">
        <v>41.8</v>
      </c>
      <c r="BB150">
        <v>0</v>
      </c>
      <c r="BC150">
        <v>40</v>
      </c>
      <c r="BD150">
        <v>109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250</v>
      </c>
      <c r="BN150">
        <v>425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425</v>
      </c>
      <c r="BV150">
        <v>1213</v>
      </c>
      <c r="BW150" t="s">
        <v>188</v>
      </c>
      <c r="BX150">
        <v>0</v>
      </c>
      <c r="BY150" t="s">
        <v>2642</v>
      </c>
      <c r="CA150" t="s">
        <v>2643</v>
      </c>
      <c r="CB150" t="s">
        <v>2644</v>
      </c>
      <c r="CC150" t="s">
        <v>2645</v>
      </c>
      <c r="CD150" t="s">
        <v>188</v>
      </c>
      <c r="CE150" t="s">
        <v>2646</v>
      </c>
      <c r="CF150" t="s">
        <v>2647</v>
      </c>
      <c r="CG150" t="s">
        <v>2648</v>
      </c>
      <c r="CI150" t="s">
        <v>2649</v>
      </c>
      <c r="CK150" t="s">
        <v>2650</v>
      </c>
      <c r="CL150" t="s">
        <v>2651</v>
      </c>
      <c r="CM150" t="s">
        <v>2652</v>
      </c>
      <c r="CN150" t="s">
        <v>2653</v>
      </c>
      <c r="CO150" t="s">
        <v>674</v>
      </c>
      <c r="CP150" t="s">
        <v>188</v>
      </c>
      <c r="CQ150" t="s">
        <v>188</v>
      </c>
      <c r="CR150">
        <v>205</v>
      </c>
      <c r="CS150">
        <v>0</v>
      </c>
      <c r="CT150" t="s">
        <v>2640</v>
      </c>
      <c r="CU150" t="s">
        <v>2654</v>
      </c>
      <c r="CX150">
        <v>0</v>
      </c>
      <c r="CY150">
        <v>0</v>
      </c>
      <c r="CZ150">
        <v>0</v>
      </c>
      <c r="DA150">
        <v>0</v>
      </c>
      <c r="DB150" t="s">
        <v>2655</v>
      </c>
      <c r="DC150">
        <v>0</v>
      </c>
      <c r="DD150">
        <v>0</v>
      </c>
      <c r="DI150" t="s">
        <v>2640</v>
      </c>
      <c r="DJ150" t="s">
        <v>2656</v>
      </c>
      <c r="DK150" t="s">
        <v>2633</v>
      </c>
      <c r="DQ150" t="s">
        <v>678</v>
      </c>
      <c r="DR150">
        <v>600</v>
      </c>
      <c r="DS150" t="s">
        <v>679</v>
      </c>
      <c r="DT150">
        <v>900</v>
      </c>
      <c r="DU150">
        <v>0</v>
      </c>
      <c r="DV150">
        <v>0</v>
      </c>
      <c r="EW150" t="s">
        <v>188</v>
      </c>
      <c r="EX150" t="s">
        <v>188</v>
      </c>
      <c r="EY150" t="s">
        <v>188</v>
      </c>
      <c r="EZ150" t="s">
        <v>188</v>
      </c>
      <c r="FA150">
        <v>4</v>
      </c>
      <c r="FB150" t="s">
        <v>188</v>
      </c>
      <c r="FC150" t="s">
        <v>681</v>
      </c>
      <c r="FD150" t="s">
        <v>682</v>
      </c>
      <c r="FE150">
        <v>1.11111111111111E+19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 t="s">
        <v>188</v>
      </c>
      <c r="GF150" t="s">
        <v>188</v>
      </c>
      <c r="GG150" t="s">
        <v>188</v>
      </c>
      <c r="GH150" s="1">
        <v>45098</v>
      </c>
      <c r="GI150" t="s">
        <v>2657</v>
      </c>
      <c r="GJ150" t="s">
        <v>610</v>
      </c>
      <c r="GK150" t="s">
        <v>610</v>
      </c>
      <c r="GL150">
        <v>0</v>
      </c>
      <c r="GM150">
        <v>0</v>
      </c>
      <c r="GN150">
        <v>660.4</v>
      </c>
      <c r="GO150">
        <v>558.79999999999995</v>
      </c>
      <c r="GP150">
        <v>0</v>
      </c>
      <c r="GR150" s="1">
        <v>45114</v>
      </c>
      <c r="GV150" t="s">
        <v>188</v>
      </c>
      <c r="GW150" t="s">
        <v>188</v>
      </c>
      <c r="GX150" t="s">
        <v>188</v>
      </c>
      <c r="GY150" t="s">
        <v>188</v>
      </c>
      <c r="GZ150" t="s">
        <v>188</v>
      </c>
      <c r="HA150" t="s">
        <v>188</v>
      </c>
      <c r="HB150" t="s">
        <v>188</v>
      </c>
      <c r="HC150" t="s">
        <v>188</v>
      </c>
      <c r="HD150" t="s">
        <v>188</v>
      </c>
      <c r="HE150" t="s">
        <v>188</v>
      </c>
      <c r="HH150">
        <v>0</v>
      </c>
      <c r="HI150">
        <v>0</v>
      </c>
      <c r="HJ150">
        <v>42.83</v>
      </c>
      <c r="HK150">
        <v>31.47</v>
      </c>
      <c r="HL150">
        <v>811.81</v>
      </c>
      <c r="HN150" t="s">
        <v>188</v>
      </c>
      <c r="IS150">
        <v>0</v>
      </c>
      <c r="IT150">
        <v>0</v>
      </c>
      <c r="IU150">
        <v>0</v>
      </c>
      <c r="IV150">
        <v>0</v>
      </c>
      <c r="IW150">
        <v>0</v>
      </c>
      <c r="IX150" t="s">
        <v>2658</v>
      </c>
      <c r="IY150">
        <v>0</v>
      </c>
      <c r="IZ150">
        <v>0</v>
      </c>
      <c r="JA150">
        <v>0</v>
      </c>
      <c r="JB150">
        <v>0</v>
      </c>
      <c r="JC150" t="s">
        <v>613</v>
      </c>
      <c r="JD150" t="s">
        <v>2659</v>
      </c>
      <c r="JE150" t="s">
        <v>2660</v>
      </c>
      <c r="JF150">
        <v>2</v>
      </c>
      <c r="JG150" t="s">
        <v>2661</v>
      </c>
      <c r="JH150" t="s">
        <v>188</v>
      </c>
      <c r="JI150">
        <v>0</v>
      </c>
      <c r="JJ150" t="s">
        <v>188</v>
      </c>
      <c r="JK150">
        <v>822.52</v>
      </c>
      <c r="JL150">
        <v>10.6</v>
      </c>
      <c r="JM150">
        <v>3</v>
      </c>
    </row>
    <row r="151" spans="1:273" x14ac:dyDescent="0.3">
      <c r="A151" t="s">
        <v>2662</v>
      </c>
      <c r="B151" t="s">
        <v>302</v>
      </c>
      <c r="C151" t="s">
        <v>340</v>
      </c>
      <c r="D151" t="s">
        <v>657</v>
      </c>
      <c r="E151" t="s">
        <v>2614</v>
      </c>
      <c r="F151" t="s">
        <v>592</v>
      </c>
      <c r="G151">
        <v>5</v>
      </c>
      <c r="H151" t="s">
        <v>2615</v>
      </c>
      <c r="I151" t="s">
        <v>594</v>
      </c>
      <c r="J151" t="s">
        <v>661</v>
      </c>
      <c r="L151" t="s">
        <v>2614</v>
      </c>
      <c r="M151" t="s">
        <v>2616</v>
      </c>
      <c r="N151">
        <v>3</v>
      </c>
      <c r="O151">
        <v>3</v>
      </c>
      <c r="P151">
        <v>1</v>
      </c>
      <c r="Q151">
        <v>9</v>
      </c>
      <c r="R151">
        <v>2</v>
      </c>
      <c r="S151">
        <v>0</v>
      </c>
      <c r="T151">
        <v>0</v>
      </c>
      <c r="U151">
        <v>0</v>
      </c>
      <c r="V151" t="s">
        <v>188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0</v>
      </c>
      <c r="AF151">
        <v>0</v>
      </c>
      <c r="AG151">
        <v>0</v>
      </c>
      <c r="AH151" t="s">
        <v>596</v>
      </c>
      <c r="AI151">
        <v>1</v>
      </c>
      <c r="AJ151" t="s">
        <v>199</v>
      </c>
      <c r="AK151">
        <v>1</v>
      </c>
      <c r="AL151">
        <v>377.2</v>
      </c>
      <c r="AM151">
        <v>2629</v>
      </c>
      <c r="AN151">
        <v>0</v>
      </c>
      <c r="AO151">
        <v>0</v>
      </c>
      <c r="AP151">
        <v>0</v>
      </c>
      <c r="AQ151">
        <v>1200</v>
      </c>
      <c r="AR151">
        <v>51.8</v>
      </c>
      <c r="AS151">
        <v>10</v>
      </c>
      <c r="AT151">
        <v>85.8</v>
      </c>
      <c r="AU151">
        <v>0</v>
      </c>
      <c r="AV151">
        <v>0</v>
      </c>
      <c r="AW151">
        <v>2077.41</v>
      </c>
      <c r="AX151">
        <v>42.05</v>
      </c>
      <c r="AY151">
        <v>998.25</v>
      </c>
      <c r="AZ151">
        <v>11.45</v>
      </c>
      <c r="BA151">
        <v>51.8</v>
      </c>
      <c r="BB151">
        <v>0</v>
      </c>
      <c r="BC151">
        <v>41</v>
      </c>
      <c r="BD151">
        <v>110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250</v>
      </c>
      <c r="BN151">
        <v>475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475</v>
      </c>
      <c r="BV151">
        <v>1230</v>
      </c>
      <c r="BW151" t="s">
        <v>188</v>
      </c>
      <c r="BX151">
        <v>0</v>
      </c>
      <c r="BY151" t="s">
        <v>2617</v>
      </c>
      <c r="CA151" t="s">
        <v>2618</v>
      </c>
      <c r="CB151" t="s">
        <v>2619</v>
      </c>
      <c r="CC151" t="s">
        <v>2620</v>
      </c>
      <c r="CD151" t="s">
        <v>188</v>
      </c>
      <c r="CE151" t="s">
        <v>2621</v>
      </c>
      <c r="CF151" t="s">
        <v>2622</v>
      </c>
      <c r="CG151" t="s">
        <v>2623</v>
      </c>
      <c r="CI151" t="s">
        <v>2624</v>
      </c>
      <c r="CK151" t="s">
        <v>2625</v>
      </c>
      <c r="CL151" t="s">
        <v>2626</v>
      </c>
      <c r="CM151" t="s">
        <v>2627</v>
      </c>
      <c r="CN151" t="s">
        <v>2628</v>
      </c>
      <c r="CO151" t="s">
        <v>674</v>
      </c>
      <c r="CP151" t="s">
        <v>188</v>
      </c>
      <c r="CQ151" t="s">
        <v>188</v>
      </c>
      <c r="CR151">
        <v>205</v>
      </c>
      <c r="CS151">
        <v>0</v>
      </c>
      <c r="CT151" t="s">
        <v>2615</v>
      </c>
      <c r="CU151" t="s">
        <v>2663</v>
      </c>
      <c r="CX151">
        <v>0</v>
      </c>
      <c r="CY151">
        <v>0</v>
      </c>
      <c r="CZ151">
        <v>0</v>
      </c>
      <c r="DA151">
        <v>0</v>
      </c>
      <c r="DB151" t="s">
        <v>2630</v>
      </c>
      <c r="DC151">
        <v>0</v>
      </c>
      <c r="DD151">
        <v>0</v>
      </c>
      <c r="DI151" t="s">
        <v>2664</v>
      </c>
      <c r="DJ151" t="s">
        <v>2665</v>
      </c>
      <c r="DK151" t="s">
        <v>2633</v>
      </c>
      <c r="DQ151" t="s">
        <v>2666</v>
      </c>
      <c r="DR151">
        <v>1200</v>
      </c>
      <c r="DU151">
        <v>0</v>
      </c>
      <c r="DV151">
        <v>0</v>
      </c>
      <c r="EW151" t="s">
        <v>188</v>
      </c>
      <c r="EX151" t="s">
        <v>188</v>
      </c>
      <c r="EY151" t="s">
        <v>188</v>
      </c>
      <c r="EZ151" t="s">
        <v>188</v>
      </c>
      <c r="FA151">
        <v>4</v>
      </c>
      <c r="FB151" t="s">
        <v>188</v>
      </c>
      <c r="FC151" t="s">
        <v>681</v>
      </c>
      <c r="FD151" t="s">
        <v>682</v>
      </c>
      <c r="FE151">
        <v>1.1111111111111099E+23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 t="s">
        <v>188</v>
      </c>
      <c r="GF151" t="s">
        <v>188</v>
      </c>
      <c r="GG151" t="s">
        <v>188</v>
      </c>
      <c r="GH151" s="1">
        <v>45098</v>
      </c>
      <c r="GI151" t="s">
        <v>2634</v>
      </c>
      <c r="GJ151" t="s">
        <v>610</v>
      </c>
      <c r="GK151" t="s">
        <v>610</v>
      </c>
      <c r="GL151">
        <v>0</v>
      </c>
      <c r="GM151">
        <v>0</v>
      </c>
      <c r="GN151">
        <v>660.4</v>
      </c>
      <c r="GO151">
        <v>558.79999999999995</v>
      </c>
      <c r="GP151">
        <v>0</v>
      </c>
      <c r="GR151" s="1">
        <v>45363</v>
      </c>
      <c r="GV151" t="s">
        <v>188</v>
      </c>
      <c r="GW151" t="s">
        <v>188</v>
      </c>
      <c r="GX151" t="s">
        <v>188</v>
      </c>
      <c r="GY151" t="s">
        <v>188</v>
      </c>
      <c r="GZ151" t="s">
        <v>188</v>
      </c>
      <c r="HA151" t="s">
        <v>188</v>
      </c>
      <c r="HB151" t="s">
        <v>188</v>
      </c>
      <c r="HC151" t="s">
        <v>188</v>
      </c>
      <c r="HD151" t="s">
        <v>188</v>
      </c>
      <c r="HE151" t="s">
        <v>188</v>
      </c>
      <c r="HH151">
        <v>0</v>
      </c>
      <c r="HI151">
        <v>0</v>
      </c>
      <c r="HJ151">
        <v>52.24</v>
      </c>
      <c r="HK151">
        <v>37.270000000000003</v>
      </c>
      <c r="HL151">
        <v>1091.51</v>
      </c>
      <c r="HN151" t="s">
        <v>188</v>
      </c>
      <c r="IS151">
        <v>0</v>
      </c>
      <c r="IT151">
        <v>0</v>
      </c>
      <c r="IU151">
        <v>0</v>
      </c>
      <c r="IV151">
        <v>0</v>
      </c>
      <c r="IW151">
        <v>0</v>
      </c>
      <c r="IX151" t="s">
        <v>2635</v>
      </c>
      <c r="IY151">
        <v>0</v>
      </c>
      <c r="IZ151">
        <v>0</v>
      </c>
      <c r="JA151">
        <v>0</v>
      </c>
      <c r="JB151">
        <v>0</v>
      </c>
      <c r="JC151" t="s">
        <v>613</v>
      </c>
      <c r="JD151" t="s">
        <v>2636</v>
      </c>
      <c r="JE151" t="s">
        <v>2637</v>
      </c>
      <c r="JF151">
        <v>2</v>
      </c>
      <c r="JG151" t="s">
        <v>2638</v>
      </c>
      <c r="JH151" t="s">
        <v>188</v>
      </c>
      <c r="JI151">
        <v>0</v>
      </c>
      <c r="JJ151" t="s">
        <v>188</v>
      </c>
      <c r="JK151">
        <v>1141.3399999999999</v>
      </c>
      <c r="JL151">
        <v>12</v>
      </c>
      <c r="JM151">
        <v>3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3AE8-F6A4-4D65-876E-EBBEB5950720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PumpOG</vt:lpstr>
      <vt:lpstr>Sheet3</vt:lpstr>
      <vt:lpstr>curve_raw_tables</vt:lpstr>
      <vt:lpstr>M_Flow</vt:lpstr>
      <vt:lpstr>M_head</vt:lpstr>
      <vt:lpstr>M_KW</vt:lpstr>
      <vt:lpstr>M_NP</vt:lpstr>
      <vt:lpstr>model_number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2KG Training</dc:creator>
  <cp:lastModifiedBy>2KG Training</cp:lastModifiedBy>
  <dcterms:created xsi:type="dcterms:W3CDTF">2026-09-21T12:08:47Z</dcterms:created>
  <dcterms:modified xsi:type="dcterms:W3CDTF">2026-09-26T21:39:52Z</dcterms:modified>
</cp:coreProperties>
</file>