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admin\Lytrose\repos\Pump-Master-Pro\Documentation\"/>
    </mc:Choice>
  </mc:AlternateContent>
  <xr:revisionPtr revIDLastSave="0" documentId="13_ncr:9_{94CAD49E-5D71-48EF-AB7F-8DD886DB6A05}" xr6:coauthVersionLast="47" xr6:coauthVersionMax="47" xr10:uidLastSave="{00000000-0000-0000-0000-000000000000}"/>
  <bookViews>
    <workbookView xWindow="-108" yWindow="-108" windowWidth="23256" windowHeight="12576" firstSheet="1" activeTab="6" xr2:uid="{288D667A-AE77-4017-BD75-930C7D5D6DD0}"/>
  </bookViews>
  <sheets>
    <sheet name="README" sheetId="1" r:id="rId1"/>
    <sheet name="Fluid_Props" sheetId="2" r:id="rId2"/>
    <sheet name="Pipe_Inputs" sheetId="3" r:id="rId3"/>
    <sheet name="Darcy_Weisbach" sheetId="4" r:id="rId4"/>
    <sheet name="Hazen_Williams" sheetId="5" r:id="rId5"/>
    <sheet name="Slurry_Durand" sheetId="6" r:id="rId6"/>
    <sheet name="Minor_Losses" sheetId="7" r:id="rId7"/>
    <sheet name="Reference" sheetId="8" r:id="rId8"/>
    <sheet name="Valida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B7" i="5" s="1"/>
  <c r="B12" i="6"/>
  <c r="B7" i="6"/>
  <c r="B6" i="6"/>
  <c r="B5" i="6"/>
  <c r="B4" i="6"/>
  <c r="B4" i="5"/>
  <c r="B27" i="4"/>
  <c r="B4" i="4"/>
  <c r="B22" i="3"/>
  <c r="B21" i="3"/>
  <c r="B9" i="4" s="1"/>
  <c r="B8" i="3"/>
  <c r="B5" i="4" s="1"/>
  <c r="B19" i="7"/>
  <c r="D16" i="7"/>
  <c r="D14" i="7"/>
  <c r="D13" i="7"/>
  <c r="D12" i="7"/>
  <c r="D11" i="7"/>
  <c r="D10" i="7"/>
  <c r="D9" i="7"/>
  <c r="D8" i="7"/>
  <c r="D7" i="7"/>
  <c r="D6" i="7"/>
  <c r="D5" i="7"/>
  <c r="D4" i="7"/>
  <c r="B18" i="7" s="1"/>
  <c r="B10" i="3" s="1"/>
  <c r="B33" i="6"/>
  <c r="B21" i="6"/>
  <c r="B20" i="6"/>
  <c r="B15" i="6"/>
  <c r="B25" i="6" s="1"/>
  <c r="B27" i="6" s="1"/>
  <c r="B28" i="6" s="1"/>
  <c r="B29" i="6" s="1"/>
  <c r="B30" i="6" s="1"/>
  <c r="B24" i="3"/>
  <c r="B3" i="5" s="1"/>
  <c r="B23" i="3"/>
  <c r="B16" i="2"/>
  <c r="B12" i="2"/>
  <c r="B8" i="2"/>
  <c r="B6" i="2"/>
  <c r="B7" i="2" s="1"/>
  <c r="B5" i="2"/>
  <c r="B13" i="5" l="1"/>
  <c r="B15" i="5" s="1"/>
  <c r="B6" i="4"/>
  <c r="B16" i="6"/>
  <c r="B8" i="6"/>
  <c r="B22" i="6" s="1"/>
  <c r="B7" i="4"/>
  <c r="B5" i="5"/>
  <c r="B10" i="5" s="1"/>
  <c r="B25" i="3"/>
  <c r="B26" i="3" s="1"/>
  <c r="B10" i="6"/>
  <c r="B3" i="4"/>
  <c r="B27" i="3" l="1"/>
  <c r="B28" i="3" s="1"/>
  <c r="B9" i="6"/>
  <c r="B34" i="6" s="1"/>
  <c r="B35" i="6" s="1"/>
  <c r="B36" i="6" s="1"/>
  <c r="B37" i="6" s="1"/>
  <c r="B38" i="6" s="1"/>
  <c r="B40" i="6" s="1"/>
  <c r="B8" i="4"/>
  <c r="B23" i="4" s="1"/>
  <c r="B39" i="6" s="1"/>
  <c r="B26" i="6"/>
  <c r="B17" i="6"/>
  <c r="B17" i="5"/>
  <c r="B16" i="5"/>
  <c r="B24" i="5" s="1"/>
  <c r="B26" i="5" s="1"/>
  <c r="B14" i="4"/>
  <c r="B20" i="4"/>
  <c r="B26" i="4" l="1"/>
  <c r="B28" i="4" s="1"/>
  <c r="B11" i="6"/>
  <c r="B10" i="4"/>
  <c r="B29" i="3"/>
  <c r="B11" i="4" s="1"/>
  <c r="B20" i="5"/>
  <c r="B21" i="5" s="1"/>
  <c r="B17" i="4" l="1"/>
  <c r="B31" i="4" s="1"/>
  <c r="B33" i="4" s="1"/>
  <c r="B15" i="4"/>
  <c r="B16" i="4" s="1"/>
</calcChain>
</file>

<file path=xl/sharedStrings.xml><?xml version="1.0" encoding="utf-8"?>
<sst xmlns="http://schemas.openxmlformats.org/spreadsheetml/2006/main" count="269" uniqueCount="191">
  <si>
    <t>PumpSelect Pro — Friction Loss Validation Workbook</t>
  </si>
  <si>
    <t>Sheet-by-sheet guide to validate hydraulic_engine.py calculations.</t>
  </si>
  <si>
    <t>Colour key:</t>
  </si>
  <si>
    <t>Yellow</t>
  </si>
  <si>
    <t>= user input</t>
  </si>
  <si>
    <t>Green</t>
  </si>
  <si>
    <t>= calculated result</t>
  </si>
  <si>
    <t>Blue</t>
  </si>
  <si>
    <t>= reference value</t>
  </si>
  <si>
    <t>Red</t>
  </si>
  <si>
    <t>= status flag</t>
  </si>
  <si>
    <t>Sheets:</t>
  </si>
  <si>
    <t>Fluid_Props</t>
  </si>
  <si>
    <t>Water density, viscosity, vapour pressure vs T</t>
  </si>
  <si>
    <t>Pipe_Inputs</t>
  </si>
  <si>
    <t>User inputs for a single pipe</t>
  </si>
  <si>
    <t>Darcy_Weisbach</t>
  </si>
  <si>
    <t>Darcy path — all steps</t>
  </si>
  <si>
    <t>Hazen_Williams</t>
  </si>
  <si>
    <t>Hazen-Williams path — all steps</t>
  </si>
  <si>
    <t>Slurry_Durand</t>
  </si>
  <si>
    <t>Settling, critical velocity, Durand correction</t>
  </si>
  <si>
    <t>Minor_Losses</t>
  </si>
  <si>
    <t>K-factor accumulation</t>
  </si>
  <si>
    <t>Reference</t>
  </si>
  <si>
    <t>Roughness, C, E, sigma-allow tables</t>
  </si>
  <si>
    <t>Validation</t>
  </si>
  <si>
    <t>Sample test cases</t>
  </si>
  <si>
    <t>Fluid Property Calculator</t>
  </si>
  <si>
    <t>Temperature T (deg C)</t>
  </si>
  <si>
    <t>rho_water (kg/m3)</t>
  </si>
  <si>
    <t>nu_water (m2/s)</t>
  </si>
  <si>
    <t>nu_water (cSt)</t>
  </si>
  <si>
    <t>P_vapour (kPa)</t>
  </si>
  <si>
    <t>Altitude check</t>
  </si>
  <si>
    <t>Altitude z (m)</t>
  </si>
  <si>
    <t>P_atm (kPa)</t>
  </si>
  <si>
    <t>Viscous fluid override</t>
  </si>
  <si>
    <t>Custom viscosity (cSt)</t>
  </si>
  <si>
    <t>nu_custom (m2/s)</t>
  </si>
  <si>
    <t>Pipe &amp; Fluid Inputs</t>
  </si>
  <si>
    <t>Fluid type</t>
  </si>
  <si>
    <t>Water</t>
  </si>
  <si>
    <t>Flow Q (m3/h)</t>
  </si>
  <si>
    <t>Pipe ID D (mm)</t>
  </si>
  <si>
    <t>Pipe length L (m)</t>
  </si>
  <si>
    <t>Material</t>
  </si>
  <si>
    <t>commercial_steel</t>
  </si>
  <si>
    <t>Roughness eps (mm)</t>
  </si>
  <si>
    <t>Elevation dZ (m)</t>
  </si>
  <si>
    <t>Minor loss SigmaK</t>
  </si>
  <si>
    <t>Specific gravity SG</t>
  </si>
  <si>
    <t>Operating temperature T (C)</t>
  </si>
  <si>
    <t>Slurry inputs (if applicable)</t>
  </si>
  <si>
    <t>Solids SG Ss</t>
  </si>
  <si>
    <t>Liquid SG Sl</t>
  </si>
  <si>
    <t>Solids weight Cw (%)</t>
  </si>
  <si>
    <t>Median d50 (mm)</t>
  </si>
  <si>
    <t>Derived fluid state</t>
  </si>
  <si>
    <t>nu (m2/s)</t>
  </si>
  <si>
    <t>rho (kg/m3)</t>
  </si>
  <si>
    <t>Q (m3/s)</t>
  </si>
  <si>
    <t>D (m)</t>
  </si>
  <si>
    <t>A (m2)</t>
  </si>
  <si>
    <t>V (m/s)</t>
  </si>
  <si>
    <t>Velocity head (m)</t>
  </si>
  <si>
    <t>Re</t>
  </si>
  <si>
    <t>Regime</t>
  </si>
  <si>
    <t>Darcy-Weisbach Calculation</t>
  </si>
  <si>
    <t>L (m)</t>
  </si>
  <si>
    <t>eps (mm)</t>
  </si>
  <si>
    <t>SigmaK</t>
  </si>
  <si>
    <t>Friction factor</t>
  </si>
  <si>
    <t>Swamee-Jain seed f_SJ</t>
  </si>
  <si>
    <t>f — laminar (64/Re)</t>
  </si>
  <si>
    <t>f — transitional blend</t>
  </si>
  <si>
    <t>f (final)</t>
  </si>
  <si>
    <t>Major head loss</t>
  </si>
  <si>
    <t>hf,major (m)</t>
  </si>
  <si>
    <t>Minor head loss</t>
  </si>
  <si>
    <t>hf,minor (m)</t>
  </si>
  <si>
    <t>Totals</t>
  </si>
  <si>
    <t>hf,friction (m)</t>
  </si>
  <si>
    <t>hf,elev (m)</t>
  </si>
  <si>
    <t>h_total (m)</t>
  </si>
  <si>
    <t>Consolidated R, n</t>
  </si>
  <si>
    <t>R (s2/m5)</t>
  </si>
  <si>
    <t>n</t>
  </si>
  <si>
    <t>hf check (R*Q^2)</t>
  </si>
  <si>
    <t>Hazen-Williams Calculation</t>
  </si>
  <si>
    <t>C factor</t>
  </si>
  <si>
    <t>Minor losses (equivalent length)</t>
  </si>
  <si>
    <t>f_ref</t>
  </si>
  <si>
    <t>L_eq (m)</t>
  </si>
  <si>
    <t>L_eff (m)</t>
  </si>
  <si>
    <t>hf,minor (equivalent)</t>
  </si>
  <si>
    <t>R</t>
  </si>
  <si>
    <t>hf check</t>
  </si>
  <si>
    <t>Slurry — Durand Correction</t>
  </si>
  <si>
    <t>Only applicable if fluid type = Slurry.</t>
  </si>
  <si>
    <t>Ss (solids SG)</t>
  </si>
  <si>
    <t>Sl (liquid SG)</t>
  </si>
  <si>
    <t>Cw (%)</t>
  </si>
  <si>
    <t>d50 (mm)</t>
  </si>
  <si>
    <t>Concentration</t>
  </si>
  <si>
    <t>Cw (fraction)</t>
  </si>
  <si>
    <t>Cv (vol fraction)</t>
  </si>
  <si>
    <t>Sm (mixture SG)</t>
  </si>
  <si>
    <t>Ferguson &amp; Church settling velocity</t>
  </si>
  <si>
    <t>R factor</t>
  </si>
  <si>
    <t>d (m)</t>
  </si>
  <si>
    <t>Vt (m/s)</t>
  </si>
  <si>
    <t>Durand critical velocity</t>
  </si>
  <si>
    <t>FL (d50 &lt; 0.5 case)</t>
  </si>
  <si>
    <t>FL (d50 &gt;= 0.5 case)</t>
  </si>
  <si>
    <t>FL (final)</t>
  </si>
  <si>
    <t>Vc (m/s)</t>
  </si>
  <si>
    <t>Deposition margin V/Vc</t>
  </si>
  <si>
    <t>Status</t>
  </si>
  <si>
    <t>Durand head-loss correction</t>
  </si>
  <si>
    <t>i_w (water gradient)</t>
  </si>
  <si>
    <t>C_d</t>
  </si>
  <si>
    <t>psi</t>
  </si>
  <si>
    <t>phi</t>
  </si>
  <si>
    <t>i_m (slurry gradient)</t>
  </si>
  <si>
    <t>hf,major,slurry (m)</t>
  </si>
  <si>
    <t>Minor Loss Accumulator (K-Factors)</t>
  </si>
  <si>
    <t>Fitting</t>
  </si>
  <si>
    <t>K_unit</t>
  </si>
  <si>
    <t>Count</t>
  </si>
  <si>
    <t>K_total</t>
  </si>
  <si>
    <t>90 Standard elbow</t>
  </si>
  <si>
    <t>45 elbow</t>
  </si>
  <si>
    <t>Tee run-through</t>
  </si>
  <si>
    <t>Tee branch</t>
  </si>
  <si>
    <t>Gate valve open</t>
  </si>
  <si>
    <t>Gate valve 50%</t>
  </si>
  <si>
    <t>Globe valve</t>
  </si>
  <si>
    <t>Ball valve full</t>
  </si>
  <si>
    <t>Butterfly valve</t>
  </si>
  <si>
    <t>Swing check</t>
  </si>
  <si>
    <t>Ball check</t>
  </si>
  <si>
    <t>Pipe custom K</t>
  </si>
  <si>
    <t>Total SigmaK</t>
  </si>
  <si>
    <t>(SigmaK exported to Pipe_Inputs!B10)</t>
  </si>
  <si>
    <t>Material key</t>
  </si>
  <si>
    <t>C</t>
  </si>
  <si>
    <t>E (GPa)</t>
  </si>
  <si>
    <t>sigma (MPa)</t>
  </si>
  <si>
    <t>pvc</t>
  </si>
  <si>
    <t>stainless_steel</t>
  </si>
  <si>
    <t>plastic_pe</t>
  </si>
  <si>
    <t>hdpe</t>
  </si>
  <si>
    <t>galvanised_steel</t>
  </si>
  <si>
    <t>ductile_iron</t>
  </si>
  <si>
    <t>copper</t>
  </si>
  <si>
    <t>cast_iron</t>
  </si>
  <si>
    <t>concrete</t>
  </si>
  <si>
    <t>Validation Test Cases</t>
  </si>
  <si>
    <t>Case</t>
  </si>
  <si>
    <t>Fluid</t>
  </si>
  <si>
    <t>D (mm)</t>
  </si>
  <si>
    <t>Q (m3/h)</t>
  </si>
  <si>
    <t>Expected Re</t>
  </si>
  <si>
    <t>Expected f</t>
  </si>
  <si>
    <t>Expected hf,major (m)</t>
  </si>
  <si>
    <t>Water 20 C</t>
  </si>
  <si>
    <t>~1.27e5</t>
  </si>
  <si>
    <t>Turbulent</t>
  </si>
  <si>
    <t>~0.0206</t>
  </si>
  <si>
    <t>~1.02</t>
  </si>
  <si>
    <t>~1.27e4</t>
  </si>
  <si>
    <t>~0.0279</t>
  </si>
  <si>
    <t>~0.013</t>
  </si>
  <si>
    <t>~1.27e3</t>
  </si>
  <si>
    <t>Laminar</t>
  </si>
  <si>
    <t>64/Re</t>
  </si>
  <si>
    <t>~0.00047</t>
  </si>
  <si>
    <t>Oil 50 cSt</t>
  </si>
  <si>
    <t>~2.55e3</t>
  </si>
  <si>
    <t>Transitional</t>
  </si>
  <si>
    <t>blend</t>
  </si>
  <si>
    <t>~0.15</t>
  </si>
  <si>
    <t>Slurry</t>
  </si>
  <si>
    <t>Colebrook</t>
  </si>
  <si>
    <t>Durand-corrected</t>
  </si>
  <si>
    <t>~0.0182</t>
  </si>
  <si>
    <t>~0.90</t>
  </si>
  <si>
    <t>HW PVC C=150</t>
  </si>
  <si>
    <t>-</t>
  </si>
  <si>
    <t>~0.83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</si>
</sst>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indexed="56"/>
      <name val="Arial"/>
    </font>
    <font>
      <b/>
      <sz val="10"/>
      <color indexed="9"/>
      <name val="Arial"/>
    </font>
    <font>
      <b/>
      <sz val="10"/>
      <name val="Arial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F6FEB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20" fillId="0" borderId="0" xfId="0" applyFont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/>
    <xf numFmtId="0" fontId="0" fillId="36" borderId="10" xfId="0" applyFill="1" applyBorder="1" applyAlignment="1">
      <alignment horizontal="center"/>
    </xf>
    <xf numFmtId="0" fontId="19" fillId="37" borderId="1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F3DE-EC4E-43F6-9FAF-F47A3A6B8A76}">
  <dimension ref="A1:B18"/>
  <sheetViews>
    <sheetView workbookViewId="0">
      <selection activeCell="A21" sqref="A21"/>
    </sheetView>
  </sheetViews>
  <sheetFormatPr defaultRowHeight="14.4"/>
  <cols>
    <col min="1" max="1" width="37" bestFit="1" customWidth="1"/>
    <col min="2" max="2" width="70.33203125" bestFit="1" customWidth="1"/>
  </cols>
  <sheetData>
    <row r="1" spans="1:2" ht="17.399999999999999">
      <c r="A1" s="1" t="s">
        <v>0</v>
      </c>
    </row>
    <row r="2" spans="1:2">
      <c r="A2" t="s">
        <v>1</v>
      </c>
    </row>
    <row r="4" spans="1:2">
      <c r="A4" s="2" t="s">
        <v>2</v>
      </c>
    </row>
    <row r="5" spans="1:2">
      <c r="A5" s="3" t="s">
        <v>3</v>
      </c>
      <c r="B5" t="s">
        <v>4</v>
      </c>
    </row>
    <row r="6" spans="1:2">
      <c r="A6" s="4" t="s">
        <v>5</v>
      </c>
      <c r="B6" t="s">
        <v>6</v>
      </c>
    </row>
    <row r="7" spans="1:2">
      <c r="A7" s="5" t="s">
        <v>7</v>
      </c>
      <c r="B7" t="s">
        <v>8</v>
      </c>
    </row>
    <row r="8" spans="1:2">
      <c r="A8" s="6" t="s">
        <v>9</v>
      </c>
      <c r="B8" t="s">
        <v>10</v>
      </c>
    </row>
    <row r="10" spans="1:2">
      <c r="A10" s="2" t="s">
        <v>11</v>
      </c>
    </row>
    <row r="11" spans="1:2">
      <c r="A11" t="s">
        <v>12</v>
      </c>
      <c r="B11" t="s">
        <v>13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20</v>
      </c>
      <c r="B15" t="s">
        <v>21</v>
      </c>
    </row>
    <row r="16" spans="1:2">
      <c r="A16" t="s">
        <v>22</v>
      </c>
      <c r="B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17D8-1D5A-4B93-9832-82FBC5528D93}">
  <dimension ref="A1:B16"/>
  <sheetViews>
    <sheetView workbookViewId="0">
      <selection activeCell="B12" sqref="B12"/>
    </sheetView>
  </sheetViews>
  <sheetFormatPr defaultRowHeight="14.4"/>
  <cols>
    <col min="1" max="1" width="37" bestFit="1" customWidth="1"/>
    <col min="2" max="2" width="25.88671875" bestFit="1" customWidth="1"/>
  </cols>
  <sheetData>
    <row r="1" spans="1:2" ht="17.399999999999999">
      <c r="A1" s="1" t="s">
        <v>28</v>
      </c>
    </row>
    <row r="3" spans="1:2">
      <c r="A3" s="2" t="s">
        <v>29</v>
      </c>
      <c r="B3" s="3">
        <v>20</v>
      </c>
    </row>
    <row r="5" spans="1:2">
      <c r="A5" t="s">
        <v>30</v>
      </c>
      <c r="B5" s="4">
        <f>1000*(1-(B3-4)^2/500000)</f>
        <v>999.48800000000006</v>
      </c>
    </row>
    <row r="6" spans="1:2">
      <c r="A6" t="s">
        <v>31</v>
      </c>
      <c r="B6" s="4">
        <f>0.000001792/(1+0.0337*B3+0.000221*B3^2)</f>
        <v>1.0167952791647753E-6</v>
      </c>
    </row>
    <row r="7" spans="1:2">
      <c r="A7" t="s">
        <v>32</v>
      </c>
      <c r="B7" s="4">
        <f>B6*1000000</f>
        <v>1.0167952791647754</v>
      </c>
    </row>
    <row r="8" spans="1:2">
      <c r="A8" t="s">
        <v>33</v>
      </c>
      <c r="B8" s="4">
        <f>10^(8.07131-1730.63/(233.426+B3))*0.133322368</f>
        <v>2.3295753445794163</v>
      </c>
    </row>
    <row r="10" spans="1:2">
      <c r="A10" s="2" t="s">
        <v>34</v>
      </c>
    </row>
    <row r="11" spans="1:2">
      <c r="A11" t="s">
        <v>35</v>
      </c>
      <c r="B11" s="3">
        <v>0</v>
      </c>
    </row>
    <row r="12" spans="1:2">
      <c r="A12" t="s">
        <v>36</v>
      </c>
      <c r="B12" s="4">
        <f>101.325*(1-0.0000225577*B11)^5.25588</f>
        <v>101.325</v>
      </c>
    </row>
    <row r="14" spans="1:2">
      <c r="A14" s="2" t="s">
        <v>37</v>
      </c>
    </row>
    <row r="15" spans="1:2">
      <c r="A15" t="s">
        <v>38</v>
      </c>
      <c r="B15" s="3">
        <v>1</v>
      </c>
    </row>
    <row r="16" spans="1:2">
      <c r="A16" t="s">
        <v>39</v>
      </c>
      <c r="B16" s="4">
        <f>B15*0.000001</f>
        <v>9.9999999999999995E-7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E582-44E9-4288-8C94-CDCF98D2B8C0}">
  <dimension ref="A1:B29"/>
  <sheetViews>
    <sheetView topLeftCell="A4" workbookViewId="0">
      <selection activeCell="B7" sqref="B7"/>
    </sheetView>
  </sheetViews>
  <sheetFormatPr defaultRowHeight="14.4"/>
  <cols>
    <col min="1" max="1" width="44.44140625" bestFit="1" customWidth="1"/>
    <col min="2" max="2" width="29.6640625" bestFit="1" customWidth="1"/>
  </cols>
  <sheetData>
    <row r="1" spans="1:2" ht="17.399999999999999">
      <c r="A1" s="1" t="s">
        <v>40</v>
      </c>
    </row>
    <row r="3" spans="1:2">
      <c r="A3" s="2" t="s">
        <v>41</v>
      </c>
      <c r="B3" s="3" t="s">
        <v>42</v>
      </c>
    </row>
    <row r="4" spans="1:2">
      <c r="A4" t="s">
        <v>43</v>
      </c>
      <c r="B4" s="3">
        <v>36</v>
      </c>
    </row>
    <row r="5" spans="1:2">
      <c r="A5" t="s">
        <v>44</v>
      </c>
      <c r="B5" s="3">
        <v>100</v>
      </c>
    </row>
    <row r="6" spans="1:2">
      <c r="A6" t="s">
        <v>45</v>
      </c>
      <c r="B6" s="3">
        <v>100</v>
      </c>
    </row>
    <row r="7" spans="1:2">
      <c r="A7" t="s">
        <v>46</v>
      </c>
      <c r="B7" s="3" t="s">
        <v>47</v>
      </c>
    </row>
    <row r="8" spans="1:2">
      <c r="A8" t="s">
        <v>48</v>
      </c>
      <c r="B8" s="4">
        <f>IFERROR(VLOOKUP(B7,Reference!$A$2:$B$10,2,FALSE),0.046)</f>
        <v>4.5999999999999999E-2</v>
      </c>
    </row>
    <row r="9" spans="1:2">
      <c r="A9" t="s">
        <v>49</v>
      </c>
      <c r="B9" s="3">
        <v>0</v>
      </c>
    </row>
    <row r="10" spans="1:2">
      <c r="A10" t="s">
        <v>50</v>
      </c>
      <c r="B10" s="4" t="e">
        <f>Minor_Losses!$B$18</f>
        <v>#VALUE!</v>
      </c>
    </row>
    <row r="11" spans="1:2">
      <c r="A11" t="s">
        <v>51</v>
      </c>
      <c r="B11" s="3">
        <v>1</v>
      </c>
    </row>
    <row r="12" spans="1:2">
      <c r="A12" t="s">
        <v>52</v>
      </c>
      <c r="B12" s="3">
        <v>20</v>
      </c>
    </row>
    <row r="14" spans="1:2">
      <c r="A14" s="2" t="s">
        <v>53</v>
      </c>
    </row>
    <row r="15" spans="1:2">
      <c r="A15" t="s">
        <v>54</v>
      </c>
      <c r="B15" s="3">
        <v>2.65</v>
      </c>
    </row>
    <row r="16" spans="1:2">
      <c r="A16" t="s">
        <v>55</v>
      </c>
      <c r="B16" s="3">
        <v>1</v>
      </c>
    </row>
    <row r="17" spans="1:2">
      <c r="A17" t="s">
        <v>56</v>
      </c>
      <c r="B17" s="3">
        <v>25</v>
      </c>
    </row>
    <row r="18" spans="1:2">
      <c r="A18" t="s">
        <v>57</v>
      </c>
      <c r="B18" s="3">
        <v>0.15</v>
      </c>
    </row>
    <row r="20" spans="1:2">
      <c r="A20" s="2" t="s">
        <v>58</v>
      </c>
    </row>
    <row r="21" spans="1:2">
      <c r="A21" t="s">
        <v>59</v>
      </c>
      <c r="B21" s="4">
        <f>IF(B3="Viscous",Fluid_Props!$B$16,Fluid_Props!$B$6)</f>
        <v>1.0167952791647753E-6</v>
      </c>
    </row>
    <row r="22" spans="1:2">
      <c r="A22" t="s">
        <v>60</v>
      </c>
      <c r="B22" s="4">
        <f>IF(B3="Slurry",(B16+(B17/100/B15)/((B17/100/B15)+((1-B17/100)/B16))*(B15-B16))*Fluid_Props!$B$5*B11,B11*Fluid_Props!$B$5)</f>
        <v>999.48800000000006</v>
      </c>
    </row>
    <row r="23" spans="1:2">
      <c r="A23" t="s">
        <v>61</v>
      </c>
      <c r="B23" s="4">
        <f>B4/3600</f>
        <v>0.01</v>
      </c>
    </row>
    <row r="24" spans="1:2">
      <c r="A24" t="s">
        <v>62</v>
      </c>
      <c r="B24" s="4">
        <f>B5/1000</f>
        <v>0.1</v>
      </c>
    </row>
    <row r="25" spans="1:2">
      <c r="A25" t="s">
        <v>63</v>
      </c>
      <c r="B25" s="4">
        <f>PI()*B24^2/4</f>
        <v>7.8539816339744835E-3</v>
      </c>
    </row>
    <row r="26" spans="1:2">
      <c r="A26" t="s">
        <v>64</v>
      </c>
      <c r="B26" s="4">
        <f>B23/B25</f>
        <v>1.2732395447351625</v>
      </c>
    </row>
    <row r="27" spans="1:2">
      <c r="A27" t="s">
        <v>65</v>
      </c>
      <c r="B27" s="4">
        <f>B26^2/(2*9.80665)</f>
        <v>8.2655082942564698E-2</v>
      </c>
    </row>
    <row r="28" spans="1:2">
      <c r="A28" t="s">
        <v>66</v>
      </c>
      <c r="B28" s="4" t="e">
        <f>B27*B24/B20</f>
        <v>#DIV/0!</v>
      </c>
    </row>
    <row r="29" spans="1:2">
      <c r="A29" t="s">
        <v>67</v>
      </c>
      <c r="B29" s="4" t="e">
        <f>IF(B28&lt;2300,"Laminar",IF(B28&lt;4000,"Transitional","Turbulent"))</f>
        <v>#DIV/0!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E5B8-D38F-4F10-9E08-56E2121AF475}">
  <dimension ref="A1:B33"/>
  <sheetViews>
    <sheetView workbookViewId="0"/>
  </sheetViews>
  <sheetFormatPr defaultRowHeight="14.4"/>
  <cols>
    <col min="1" max="1" width="40.77734375" bestFit="1" customWidth="1"/>
    <col min="2" max="2" width="29.6640625" bestFit="1" customWidth="1"/>
  </cols>
  <sheetData>
    <row r="1" spans="1:2" ht="17.399999999999999">
      <c r="A1" s="1" t="s">
        <v>68</v>
      </c>
    </row>
    <row r="3" spans="1:2">
      <c r="A3" t="s">
        <v>62</v>
      </c>
      <c r="B3" s="4">
        <f>Pipe_Inputs!$B$24</f>
        <v>0.1</v>
      </c>
    </row>
    <row r="4" spans="1:2">
      <c r="A4" t="s">
        <v>69</v>
      </c>
      <c r="B4" s="4">
        <f>Pipe_Inputs!$B$6</f>
        <v>100</v>
      </c>
    </row>
    <row r="5" spans="1:2">
      <c r="A5" t="s">
        <v>70</v>
      </c>
      <c r="B5" s="4">
        <f>Pipe_Inputs!$B$8</f>
        <v>4.5999999999999999E-2</v>
      </c>
    </row>
    <row r="6" spans="1:2">
      <c r="A6" t="s">
        <v>71</v>
      </c>
      <c r="B6" s="4" t="e">
        <f>Pipe_Inputs!$B$10</f>
        <v>#VALUE!</v>
      </c>
    </row>
    <row r="7" spans="1:2">
      <c r="A7" t="s">
        <v>61</v>
      </c>
      <c r="B7" s="4">
        <f>Pipe_Inputs!$B$23</f>
        <v>0.01</v>
      </c>
    </row>
    <row r="8" spans="1:2">
      <c r="A8" t="s">
        <v>64</v>
      </c>
      <c r="B8" s="4">
        <f>Pipe_Inputs!$B$26</f>
        <v>1.2732395447351625</v>
      </c>
    </row>
    <row r="9" spans="1:2">
      <c r="A9" t="s">
        <v>59</v>
      </c>
      <c r="B9" s="4">
        <f>Pipe_Inputs!$B$21</f>
        <v>1.0167952791647753E-6</v>
      </c>
    </row>
    <row r="10" spans="1:2">
      <c r="A10" t="s">
        <v>66</v>
      </c>
      <c r="B10" s="4" t="e">
        <f>Pipe_Inputs!$B$28</f>
        <v>#DIV/0!</v>
      </c>
    </row>
    <row r="11" spans="1:2">
      <c r="A11" t="s">
        <v>67</v>
      </c>
      <c r="B11" s="4" t="e">
        <f>Pipe_Inputs!$B$29</f>
        <v>#DIV/0!</v>
      </c>
    </row>
    <row r="13" spans="1:2">
      <c r="A13" s="2" t="s">
        <v>72</v>
      </c>
    </row>
    <row r="14" spans="1:2">
      <c r="A14" t="s">
        <v>73</v>
      </c>
      <c r="B14" s="4">
        <f>0.25/(LOG10((B3/1000/B3)/3.7+5.74/B9^0.9))^2</f>
        <v>6.6046626282236448E-3</v>
      </c>
    </row>
    <row r="15" spans="1:2">
      <c r="A15" t="s">
        <v>74</v>
      </c>
      <c r="B15" s="4" t="e">
        <f>IF(B10&gt;0,64/B10,0.02)</f>
        <v>#DIV/0!</v>
      </c>
    </row>
    <row r="16" spans="1:2">
      <c r="A16" t="s">
        <v>75</v>
      </c>
      <c r="B16" s="4" t="e">
        <f>B15*(1-(B10-2300)/1700)+B14*((B10-2300)/1700)</f>
        <v>#DIV/0!</v>
      </c>
    </row>
    <row r="17" spans="1:2">
      <c r="A17" s="2" t="s">
        <v>76</v>
      </c>
      <c r="B17" s="4" t="e">
        <f>IF(B10&lt;2300,B15,IF(B10&lt;4000,B16,B14))</f>
        <v>#DIV/0!</v>
      </c>
    </row>
    <row r="19" spans="1:2">
      <c r="A19" s="2" t="s">
        <v>77</v>
      </c>
    </row>
    <row r="20" spans="1:2">
      <c r="A20" t="s">
        <v>78</v>
      </c>
      <c r="B20" s="4" t="e">
        <f>B18*(B3/B2)*(B7^2)/(2*9.80665)</f>
        <v>#DIV/0!</v>
      </c>
    </row>
    <row r="22" spans="1:2">
      <c r="A22" s="2" t="s">
        <v>79</v>
      </c>
    </row>
    <row r="23" spans="1:2">
      <c r="A23" t="s">
        <v>80</v>
      </c>
      <c r="B23" s="4" t="e">
        <f>B6*(B8^2)/(2*9.80665)</f>
        <v>#VALUE!</v>
      </c>
    </row>
    <row r="25" spans="1:2">
      <c r="A25" s="2" t="s">
        <v>81</v>
      </c>
    </row>
    <row r="26" spans="1:2">
      <c r="A26" t="s">
        <v>82</v>
      </c>
      <c r="B26" s="4" t="e">
        <f>B20+B23</f>
        <v>#DIV/0!</v>
      </c>
    </row>
    <row r="27" spans="1:2">
      <c r="A27" t="s">
        <v>83</v>
      </c>
      <c r="B27" s="4">
        <f>Pipe_Inputs!$B$9</f>
        <v>0</v>
      </c>
    </row>
    <row r="28" spans="1:2">
      <c r="A28" t="s">
        <v>84</v>
      </c>
      <c r="B28" s="4" t="e">
        <f>B26+B27</f>
        <v>#DIV/0!</v>
      </c>
    </row>
    <row r="30" spans="1:2">
      <c r="A30" s="2" t="s">
        <v>85</v>
      </c>
    </row>
    <row r="31" spans="1:2">
      <c r="A31" t="s">
        <v>86</v>
      </c>
      <c r="B31" s="4" t="e">
        <f>8/(9.80665*PI()^2*B3^4)*(B17*B4/B3+B9)</f>
        <v>#DIV/0!</v>
      </c>
    </row>
    <row r="32" spans="1:2">
      <c r="A32" t="s">
        <v>87</v>
      </c>
      <c r="B32" s="4">
        <v>2</v>
      </c>
    </row>
    <row r="33" spans="1:2">
      <c r="A33" t="s">
        <v>88</v>
      </c>
      <c r="B33" s="4" t="e">
        <f>B31*B9^2</f>
        <v>#DIV/0!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DB96-F474-4880-B61B-CBF436F3BF3D}">
  <dimension ref="A1:B26"/>
  <sheetViews>
    <sheetView workbookViewId="0">
      <selection activeCell="B6" sqref="B6"/>
    </sheetView>
  </sheetViews>
  <sheetFormatPr defaultRowHeight="14.4"/>
  <cols>
    <col min="1" max="1" width="40.77734375" bestFit="1" customWidth="1"/>
    <col min="2" max="2" width="29.6640625" bestFit="1" customWidth="1"/>
  </cols>
  <sheetData>
    <row r="1" spans="1:2" ht="17.399999999999999">
      <c r="A1" s="1" t="s">
        <v>89</v>
      </c>
    </row>
    <row r="3" spans="1:2">
      <c r="A3" t="s">
        <v>62</v>
      </c>
      <c r="B3" s="4">
        <f>Pipe_Inputs!$B$24</f>
        <v>0.1</v>
      </c>
    </row>
    <row r="4" spans="1:2">
      <c r="A4" t="s">
        <v>69</v>
      </c>
      <c r="B4" s="4">
        <f>Pipe_Inputs!$B$6</f>
        <v>100</v>
      </c>
    </row>
    <row r="5" spans="1:2">
      <c r="A5" t="s">
        <v>61</v>
      </c>
      <c r="B5" s="4">
        <f>Pipe_Inputs!$B$23</f>
        <v>0.01</v>
      </c>
    </row>
    <row r="6" spans="1:2">
      <c r="A6" t="s">
        <v>46</v>
      </c>
      <c r="B6" s="4" t="str">
        <f>Pipe_Inputs!$B$7</f>
        <v>commercial_steel</v>
      </c>
    </row>
    <row r="7" spans="1:2">
      <c r="A7" s="2" t="s">
        <v>90</v>
      </c>
      <c r="B7" s="4">
        <f>IFERROR(VLOOKUP(B6,Reference!$E$2:$F$10,2,FALSE),120)</f>
        <v>120</v>
      </c>
    </row>
    <row r="9" spans="1:2">
      <c r="A9" s="2" t="s">
        <v>77</v>
      </c>
    </row>
    <row r="10" spans="1:2">
      <c r="A10" t="s">
        <v>78</v>
      </c>
      <c r="B10" s="4" t="e">
        <f>10.67*B4*B6^(-1.852)*B3^(-4.87)*B5^1.852</f>
        <v>#VALUE!</v>
      </c>
    </row>
    <row r="12" spans="1:2">
      <c r="A12" s="2" t="s">
        <v>91</v>
      </c>
    </row>
    <row r="13" spans="1:2">
      <c r="A13" t="s">
        <v>71</v>
      </c>
      <c r="B13" s="4" t="e">
        <f>Pipe_Inputs!$B$10</f>
        <v>#VALUE!</v>
      </c>
    </row>
    <row r="14" spans="1:2">
      <c r="A14" t="s">
        <v>92</v>
      </c>
      <c r="B14" s="4">
        <v>0.02</v>
      </c>
    </row>
    <row r="15" spans="1:2">
      <c r="A15" t="s">
        <v>93</v>
      </c>
      <c r="B15" s="4" t="e">
        <f>B13*(B3/B14)</f>
        <v>#VALUE!</v>
      </c>
    </row>
    <row r="16" spans="1:2">
      <c r="A16" t="s">
        <v>94</v>
      </c>
      <c r="B16" s="4" t="e">
        <f>B4+B15</f>
        <v>#VALUE!</v>
      </c>
    </row>
    <row r="17" spans="1:2">
      <c r="A17" t="s">
        <v>95</v>
      </c>
      <c r="B17" s="4" t="e">
        <f>10.67*B15*B8^(-1.852)*B5^(-4.87)*B7^1.852</f>
        <v>#VALUE!</v>
      </c>
    </row>
    <row r="19" spans="1:2">
      <c r="A19" s="2" t="s">
        <v>81</v>
      </c>
    </row>
    <row r="20" spans="1:2">
      <c r="A20" t="s">
        <v>82</v>
      </c>
      <c r="B20" s="4" t="e">
        <f>B10+B16</f>
        <v>#VALUE!</v>
      </c>
    </row>
    <row r="21" spans="1:2">
      <c r="A21" t="s">
        <v>84</v>
      </c>
      <c r="B21" s="4" t="e">
        <f>B20+Pipe_Inputs!$B$9</f>
        <v>#VALUE!</v>
      </c>
    </row>
    <row r="23" spans="1:2">
      <c r="A23" s="2" t="s">
        <v>85</v>
      </c>
    </row>
    <row r="24" spans="1:2">
      <c r="A24" t="s">
        <v>96</v>
      </c>
      <c r="B24" s="4" t="e">
        <f>10.67*B16*B5^(-1.852)*B2^(-4.87)</f>
        <v>#VALUE!</v>
      </c>
    </row>
    <row r="25" spans="1:2">
      <c r="A25" t="s">
        <v>87</v>
      </c>
      <c r="B25" s="4">
        <v>1.8520000000000001</v>
      </c>
    </row>
    <row r="26" spans="1:2">
      <c r="A26" t="s">
        <v>97</v>
      </c>
      <c r="B26" s="4" t="e">
        <f>B24*B2^B25</f>
        <v>#VALUE!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58EC-2AAF-487C-BF84-928CBE5FD4E5}">
  <dimension ref="A1:B40"/>
  <sheetViews>
    <sheetView workbookViewId="0"/>
  </sheetViews>
  <sheetFormatPr defaultRowHeight="14.4"/>
  <cols>
    <col min="1" max="1" width="44.44140625" bestFit="1" customWidth="1"/>
    <col min="2" max="2" width="29.6640625" bestFit="1" customWidth="1"/>
  </cols>
  <sheetData>
    <row r="1" spans="1:2" ht="17.399999999999999">
      <c r="A1" s="1" t="s">
        <v>98</v>
      </c>
    </row>
    <row r="2" spans="1:2">
      <c r="A2" t="s">
        <v>99</v>
      </c>
    </row>
    <row r="4" spans="1:2">
      <c r="A4" t="s">
        <v>100</v>
      </c>
      <c r="B4" s="4">
        <f>Pipe_Inputs!$B$15</f>
        <v>2.65</v>
      </c>
    </row>
    <row r="5" spans="1:2">
      <c r="A5" t="s">
        <v>101</v>
      </c>
      <c r="B5" s="4">
        <f>Pipe_Inputs!$B$16</f>
        <v>1</v>
      </c>
    </row>
    <row r="6" spans="1:2">
      <c r="A6" t="s">
        <v>102</v>
      </c>
      <c r="B6" s="4">
        <f>Pipe_Inputs!$B$17</f>
        <v>25</v>
      </c>
    </row>
    <row r="7" spans="1:2">
      <c r="A7" t="s">
        <v>103</v>
      </c>
      <c r="B7" s="4">
        <f>Pipe_Inputs!$B$18</f>
        <v>0.15</v>
      </c>
    </row>
    <row r="8" spans="1:2">
      <c r="A8" t="s">
        <v>62</v>
      </c>
      <c r="B8" s="4">
        <f>Pipe_Inputs!$B$24</f>
        <v>0.1</v>
      </c>
    </row>
    <row r="9" spans="1:2">
      <c r="A9" t="s">
        <v>64</v>
      </c>
      <c r="B9" s="4">
        <f>Pipe_Inputs!$B$26</f>
        <v>1.2732395447351625</v>
      </c>
    </row>
    <row r="10" spans="1:2">
      <c r="A10" t="s">
        <v>59</v>
      </c>
      <c r="B10" s="4">
        <f>Pipe_Inputs!$B$21</f>
        <v>1.0167952791647753E-6</v>
      </c>
    </row>
    <row r="11" spans="1:2">
      <c r="A11" t="s">
        <v>78</v>
      </c>
      <c r="B11" s="4" t="e">
        <f>Darcy_Weisbach!$B$20</f>
        <v>#DIV/0!</v>
      </c>
    </row>
    <row r="12" spans="1:2">
      <c r="A12" t="s">
        <v>69</v>
      </c>
      <c r="B12" s="4">
        <f>Pipe_Inputs!$B$6</f>
        <v>100</v>
      </c>
    </row>
    <row r="14" spans="1:2">
      <c r="A14" s="2" t="s">
        <v>104</v>
      </c>
    </row>
    <row r="15" spans="1:2">
      <c r="A15" t="s">
        <v>105</v>
      </c>
      <c r="B15" s="4">
        <f>B5/100</f>
        <v>0.01</v>
      </c>
    </row>
    <row r="16" spans="1:2">
      <c r="A16" t="s">
        <v>106</v>
      </c>
      <c r="B16" s="4">
        <f>(B15/B4)/((B15/B4)+((1-B15)/B5))</f>
        <v>3.7972280235428137E-3</v>
      </c>
    </row>
    <row r="17" spans="1:2">
      <c r="A17" t="s">
        <v>107</v>
      </c>
      <c r="B17" s="4">
        <f>B4+B16*(B3-B4)</f>
        <v>2.6399373457376116</v>
      </c>
    </row>
    <row r="19" spans="1:2">
      <c r="A19" s="2" t="s">
        <v>108</v>
      </c>
    </row>
    <row r="20" spans="1:2">
      <c r="A20" t="s">
        <v>109</v>
      </c>
      <c r="B20" s="4" t="e">
        <f>(B2-B3)/B3</f>
        <v>#DIV/0!</v>
      </c>
    </row>
    <row r="21" spans="1:2">
      <c r="A21" t="s">
        <v>110</v>
      </c>
      <c r="B21" s="4">
        <f>B4/1000</f>
        <v>2.65E-3</v>
      </c>
    </row>
    <row r="22" spans="1:2">
      <c r="A22" t="s">
        <v>111</v>
      </c>
      <c r="B22" s="4" t="e">
        <f>(B20*9.80665*B21^2)/(18*B8+SQRT(0.75*0.8*B20*9.80665*B21^3))</f>
        <v>#DIV/0!</v>
      </c>
    </row>
    <row r="24" spans="1:2">
      <c r="A24" s="2" t="s">
        <v>112</v>
      </c>
    </row>
    <row r="25" spans="1:2">
      <c r="A25" t="s">
        <v>113</v>
      </c>
      <c r="B25" s="4">
        <f>1.34*(B4/0.5)^0.25*(B15/0.15)^0.05</f>
        <v>1.7756983977237117</v>
      </c>
    </row>
    <row r="26" spans="1:2">
      <c r="A26" t="s">
        <v>114</v>
      </c>
      <c r="B26" s="4">
        <f>1.34*(B16/0.15)^0.05</f>
        <v>1.1149966672683775</v>
      </c>
    </row>
    <row r="27" spans="1:2">
      <c r="A27" t="s">
        <v>115</v>
      </c>
      <c r="B27" s="4">
        <f>IF(B4&lt;0.5,MIN(1.45,MAX(0.75,B25)),MIN(1.45,MAX(0.75,B25)))</f>
        <v>1.45</v>
      </c>
    </row>
    <row r="28" spans="1:2">
      <c r="A28" t="s">
        <v>116</v>
      </c>
      <c r="B28" s="4">
        <f>B27*SQRT(2*9.80665*B6*(B6-B7)/B7)</f>
        <v>413.26717281570205</v>
      </c>
    </row>
    <row r="29" spans="1:2">
      <c r="A29" t="s">
        <v>117</v>
      </c>
      <c r="B29" s="4">
        <f>B6/B28</f>
        <v>6.0493553914936375E-2</v>
      </c>
    </row>
    <row r="30" spans="1:2">
      <c r="A30" t="s">
        <v>118</v>
      </c>
      <c r="B30" s="6" t="str">
        <f>IF(B29&gt;=1.2,"Safe Suspension",IF(B29&gt;=1,"Marginal","High Deposition Risk"))</f>
        <v>High Deposition Risk</v>
      </c>
    </row>
    <row r="32" spans="1:2">
      <c r="A32" s="2" t="s">
        <v>119</v>
      </c>
    </row>
    <row r="33" spans="1:2">
      <c r="A33" t="s">
        <v>120</v>
      </c>
      <c r="B33" s="4">
        <f>B4/B5</f>
        <v>2.65</v>
      </c>
    </row>
    <row r="34" spans="1:2">
      <c r="A34" t="s">
        <v>121</v>
      </c>
      <c r="B34" s="4">
        <f>(4/3)*9.80665*B16*(B9-B10)/B17^2</f>
        <v>9.0708632931632699E-3</v>
      </c>
    </row>
    <row r="35" spans="1:2">
      <c r="A35" t="s">
        <v>122</v>
      </c>
      <c r="B35" s="4">
        <f>B4^2*SQRT(B34)/(9.80665*B5*(B4-B5))</f>
        <v>4.1334381065575423E-2</v>
      </c>
    </row>
    <row r="36" spans="1:2">
      <c r="A36" t="s">
        <v>123</v>
      </c>
      <c r="B36" s="4">
        <f>82*B35^(-1.5)</f>
        <v>9757.6827520574971</v>
      </c>
    </row>
    <row r="37" spans="1:2">
      <c r="A37" t="s">
        <v>124</v>
      </c>
      <c r="B37" s="4">
        <f>B33*(1+B36*B14)*B15</f>
        <v>2.6499999999999999E-2</v>
      </c>
    </row>
    <row r="38" spans="1:2">
      <c r="A38" t="s">
        <v>125</v>
      </c>
      <c r="B38" s="4">
        <f>B37*B3</f>
        <v>0</v>
      </c>
    </row>
    <row r="39" spans="1:2">
      <c r="A39" t="s">
        <v>80</v>
      </c>
      <c r="B39" s="4" t="e">
        <f>Darcy_Weisbach!$B$23</f>
        <v>#VALUE!</v>
      </c>
    </row>
    <row r="40" spans="1:2">
      <c r="A40" t="s">
        <v>82</v>
      </c>
      <c r="B40" s="4" t="e">
        <f>B38+B39</f>
        <v>#VALUE!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758E-4D38-4429-A0B1-2D628C7B9AA2}">
  <dimension ref="A1:D19"/>
  <sheetViews>
    <sheetView tabSelected="1" workbookViewId="0">
      <selection activeCell="D20" sqref="D20"/>
    </sheetView>
  </sheetViews>
  <sheetFormatPr defaultRowHeight="14.4"/>
  <cols>
    <col min="1" max="1" width="37" bestFit="1" customWidth="1"/>
    <col min="2" max="3" width="14.77734375" bestFit="1" customWidth="1"/>
    <col min="4" max="4" width="18.5546875" bestFit="1" customWidth="1"/>
  </cols>
  <sheetData>
    <row r="1" spans="1:4" ht="17.399999999999999">
      <c r="A1" s="1" t="s">
        <v>126</v>
      </c>
    </row>
    <row r="3" spans="1:4">
      <c r="A3" s="7" t="s">
        <v>127</v>
      </c>
      <c r="B3" s="7" t="s">
        <v>128</v>
      </c>
      <c r="C3" s="7" t="s">
        <v>129</v>
      </c>
      <c r="D3" s="7" t="s">
        <v>130</v>
      </c>
    </row>
    <row r="4" spans="1:4">
      <c r="A4" t="s">
        <v>131</v>
      </c>
      <c r="B4" s="4">
        <v>0.9</v>
      </c>
      <c r="C4" s="3">
        <v>2</v>
      </c>
      <c r="D4" s="4" t="e">
        <f t="shared" ref="D4:D14" si="0">B3*C3</f>
        <v>#VALUE!</v>
      </c>
    </row>
    <row r="5" spans="1:4">
      <c r="A5" t="s">
        <v>132</v>
      </c>
      <c r="B5" s="4">
        <v>0.4</v>
      </c>
      <c r="C5" s="3">
        <v>0</v>
      </c>
      <c r="D5" s="4">
        <f t="shared" si="0"/>
        <v>1.8</v>
      </c>
    </row>
    <row r="6" spans="1:4">
      <c r="A6" t="s">
        <v>133</v>
      </c>
      <c r="B6" s="4">
        <v>0.4</v>
      </c>
      <c r="C6" s="3">
        <v>0</v>
      </c>
      <c r="D6" s="4">
        <f t="shared" si="0"/>
        <v>0</v>
      </c>
    </row>
    <row r="7" spans="1:4">
      <c r="A7" t="s">
        <v>134</v>
      </c>
      <c r="B7" s="4">
        <v>1.8</v>
      </c>
      <c r="C7" s="3">
        <v>0</v>
      </c>
      <c r="D7" s="4">
        <f t="shared" si="0"/>
        <v>0</v>
      </c>
    </row>
    <row r="8" spans="1:4">
      <c r="A8" t="s">
        <v>135</v>
      </c>
      <c r="B8" s="4">
        <v>0.2</v>
      </c>
      <c r="C8" s="3">
        <v>1</v>
      </c>
      <c r="D8" s="4">
        <f t="shared" si="0"/>
        <v>0</v>
      </c>
    </row>
    <row r="9" spans="1:4">
      <c r="A9" t="s">
        <v>136</v>
      </c>
      <c r="B9" s="4">
        <v>5.6</v>
      </c>
      <c r="C9" s="3">
        <v>0</v>
      </c>
      <c r="D9" s="4">
        <f t="shared" si="0"/>
        <v>0.2</v>
      </c>
    </row>
    <row r="10" spans="1:4">
      <c r="A10" t="s">
        <v>137</v>
      </c>
      <c r="B10" s="4">
        <v>10</v>
      </c>
      <c r="C10" s="3">
        <v>0</v>
      </c>
      <c r="D10" s="4">
        <f t="shared" si="0"/>
        <v>0</v>
      </c>
    </row>
    <row r="11" spans="1:4">
      <c r="A11" t="s">
        <v>138</v>
      </c>
      <c r="B11" s="4">
        <v>0.05</v>
      </c>
      <c r="C11" s="3">
        <v>0</v>
      </c>
      <c r="D11" s="4">
        <f t="shared" si="0"/>
        <v>0</v>
      </c>
    </row>
    <row r="12" spans="1:4">
      <c r="A12" t="s">
        <v>139</v>
      </c>
      <c r="B12" s="4">
        <v>0.3</v>
      </c>
      <c r="C12" s="3">
        <v>0</v>
      </c>
      <c r="D12" s="4">
        <f t="shared" si="0"/>
        <v>0</v>
      </c>
    </row>
    <row r="13" spans="1:4">
      <c r="A13" t="s">
        <v>140</v>
      </c>
      <c r="B13" s="4">
        <v>2.5</v>
      </c>
      <c r="C13" s="3">
        <v>0</v>
      </c>
      <c r="D13" s="4">
        <f t="shared" si="0"/>
        <v>0</v>
      </c>
    </row>
    <row r="14" spans="1:4">
      <c r="A14" t="s">
        <v>141</v>
      </c>
      <c r="B14" s="4">
        <v>4.5</v>
      </c>
      <c r="C14" s="3">
        <v>0</v>
      </c>
      <c r="D14" s="4">
        <f t="shared" si="0"/>
        <v>0</v>
      </c>
    </row>
    <row r="16" spans="1:4">
      <c r="A16" t="s">
        <v>142</v>
      </c>
      <c r="B16" s="3">
        <v>0</v>
      </c>
      <c r="D16" s="4">
        <f>A15</f>
        <v>0</v>
      </c>
    </row>
    <row r="18" spans="1:2">
      <c r="A18" s="2" t="s">
        <v>143</v>
      </c>
      <c r="B18" s="4" t="e">
        <f>SUM(D4:D14)+D16</f>
        <v>#VALUE!</v>
      </c>
    </row>
    <row r="19" spans="1:2">
      <c r="A19" t="s">
        <v>144</v>
      </c>
      <c r="B19" s="4">
        <f>B17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71B6-A22D-4A9E-B4F5-7288DFBF4B2D}">
  <dimension ref="A1:M10"/>
  <sheetViews>
    <sheetView workbookViewId="0">
      <selection activeCell="B16" sqref="B16"/>
    </sheetView>
  </sheetViews>
  <sheetFormatPr defaultRowHeight="14.4"/>
  <cols>
    <col min="1" max="1" width="29.6640625" bestFit="1" customWidth="1"/>
    <col min="2" max="2" width="18.5546875" bestFit="1" customWidth="1"/>
    <col min="3" max="4" width="5.5546875" bestFit="1" customWidth="1"/>
    <col min="5" max="5" width="29.6640625" bestFit="1" customWidth="1"/>
    <col min="6" max="6" width="14.77734375" bestFit="1" customWidth="1"/>
    <col min="7" max="7" width="5.5546875" bestFit="1" customWidth="1"/>
    <col min="8" max="8" width="29.6640625" bestFit="1" customWidth="1"/>
    <col min="9" max="9" width="14.77734375" bestFit="1" customWidth="1"/>
    <col min="10" max="10" width="5.5546875" bestFit="1" customWidth="1"/>
    <col min="11" max="11" width="29.6640625" bestFit="1" customWidth="1"/>
    <col min="12" max="12" width="18.5546875" bestFit="1" customWidth="1"/>
  </cols>
  <sheetData>
    <row r="1" spans="1:13">
      <c r="A1" s="7" t="s">
        <v>145</v>
      </c>
      <c r="B1" s="7" t="s">
        <v>70</v>
      </c>
      <c r="E1" s="7" t="s">
        <v>145</v>
      </c>
      <c r="F1" s="7" t="s">
        <v>146</v>
      </c>
      <c r="I1" s="7" t="s">
        <v>145</v>
      </c>
      <c r="J1" s="7" t="s">
        <v>147</v>
      </c>
      <c r="L1" s="7" t="s">
        <v>145</v>
      </c>
      <c r="M1" s="7" t="s">
        <v>148</v>
      </c>
    </row>
    <row r="2" spans="1:13">
      <c r="A2" s="5" t="s">
        <v>47</v>
      </c>
      <c r="B2" s="5">
        <v>4.5999999999999999E-2</v>
      </c>
      <c r="E2" s="5" t="s">
        <v>149</v>
      </c>
      <c r="F2" s="5">
        <v>150</v>
      </c>
      <c r="I2" s="5" t="s">
        <v>47</v>
      </c>
      <c r="J2" s="5">
        <v>207</v>
      </c>
      <c r="L2" s="5" t="s">
        <v>47</v>
      </c>
      <c r="M2" s="5">
        <v>138</v>
      </c>
    </row>
    <row r="3" spans="1:13">
      <c r="A3" s="5" t="s">
        <v>150</v>
      </c>
      <c r="B3" s="5">
        <v>1.4999999999999999E-2</v>
      </c>
      <c r="E3" s="5" t="s">
        <v>151</v>
      </c>
      <c r="F3" s="5">
        <v>140</v>
      </c>
      <c r="I3" s="5" t="s">
        <v>150</v>
      </c>
      <c r="J3" s="5">
        <v>193</v>
      </c>
      <c r="L3" s="5" t="s">
        <v>150</v>
      </c>
      <c r="M3" s="5">
        <v>137</v>
      </c>
    </row>
    <row r="4" spans="1:13">
      <c r="A4" s="5" t="s">
        <v>149</v>
      </c>
      <c r="B4" s="5">
        <v>2E-3</v>
      </c>
      <c r="E4" s="5" t="s">
        <v>152</v>
      </c>
      <c r="F4" s="5">
        <v>140</v>
      </c>
      <c r="I4" s="5" t="s">
        <v>153</v>
      </c>
      <c r="J4" s="5">
        <v>200</v>
      </c>
      <c r="L4" s="5" t="s">
        <v>153</v>
      </c>
      <c r="M4" s="5">
        <v>138</v>
      </c>
    </row>
    <row r="5" spans="1:13">
      <c r="A5" s="5" t="s">
        <v>151</v>
      </c>
      <c r="B5" s="5">
        <v>7.0000000000000001E-3</v>
      </c>
      <c r="E5" s="5" t="s">
        <v>150</v>
      </c>
      <c r="F5" s="5">
        <v>140</v>
      </c>
      <c r="I5" s="5" t="s">
        <v>154</v>
      </c>
      <c r="J5" s="5">
        <v>170</v>
      </c>
      <c r="L5" s="5" t="s">
        <v>154</v>
      </c>
      <c r="M5" s="5">
        <v>150</v>
      </c>
    </row>
    <row r="6" spans="1:13">
      <c r="A6" s="5" t="s">
        <v>152</v>
      </c>
      <c r="B6" s="5">
        <v>7.0000000000000001E-3</v>
      </c>
      <c r="E6" s="5" t="s">
        <v>155</v>
      </c>
      <c r="F6" s="5">
        <v>140</v>
      </c>
      <c r="I6" s="5" t="s">
        <v>156</v>
      </c>
      <c r="J6" s="5">
        <v>100</v>
      </c>
      <c r="L6" s="5" t="s">
        <v>156</v>
      </c>
      <c r="M6" s="5">
        <v>40</v>
      </c>
    </row>
    <row r="7" spans="1:13">
      <c r="A7" s="5" t="s">
        <v>153</v>
      </c>
      <c r="B7" s="5">
        <v>0.15</v>
      </c>
      <c r="E7" s="5" t="s">
        <v>154</v>
      </c>
      <c r="F7" s="5">
        <v>130</v>
      </c>
      <c r="I7" s="5" t="s">
        <v>155</v>
      </c>
      <c r="J7" s="5">
        <v>117</v>
      </c>
      <c r="L7" s="5" t="s">
        <v>155</v>
      </c>
      <c r="M7" s="5">
        <v>70</v>
      </c>
    </row>
    <row r="8" spans="1:13">
      <c r="A8" s="5" t="s">
        <v>154</v>
      </c>
      <c r="B8" s="5">
        <v>0.25</v>
      </c>
      <c r="E8" s="5" t="s">
        <v>47</v>
      </c>
      <c r="F8" s="5">
        <v>120</v>
      </c>
      <c r="I8" s="5" t="s">
        <v>157</v>
      </c>
      <c r="J8" s="5">
        <v>30</v>
      </c>
      <c r="L8" s="5" t="s">
        <v>149</v>
      </c>
      <c r="M8" s="5">
        <v>14</v>
      </c>
    </row>
    <row r="9" spans="1:13">
      <c r="A9" s="5" t="s">
        <v>156</v>
      </c>
      <c r="B9" s="5">
        <v>0.26</v>
      </c>
      <c r="E9" s="5" t="s">
        <v>153</v>
      </c>
      <c r="F9" s="5">
        <v>120</v>
      </c>
      <c r="I9" s="5" t="s">
        <v>149</v>
      </c>
      <c r="J9" s="5">
        <v>3</v>
      </c>
      <c r="L9" s="5" t="s">
        <v>151</v>
      </c>
      <c r="M9" s="5">
        <v>8</v>
      </c>
    </row>
    <row r="10" spans="1:13">
      <c r="A10" s="5" t="s">
        <v>155</v>
      </c>
      <c r="B10" s="5">
        <v>1.5E-3</v>
      </c>
      <c r="E10" s="5" t="s">
        <v>156</v>
      </c>
      <c r="F10" s="5">
        <v>100</v>
      </c>
      <c r="I10" s="5" t="s">
        <v>152</v>
      </c>
      <c r="J10" s="5">
        <v>1</v>
      </c>
      <c r="L10" s="5" t="s">
        <v>152</v>
      </c>
      <c r="M10" s="5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9616-5AED-4B94-86F0-61DBFD0B8CA7}">
  <dimension ref="A1:K10"/>
  <sheetViews>
    <sheetView workbookViewId="0"/>
  </sheetViews>
  <sheetFormatPr defaultRowHeight="14.4"/>
  <cols>
    <col min="1" max="1" width="9.21875" bestFit="1" customWidth="1"/>
    <col min="2" max="2" width="22.21875" bestFit="1" customWidth="1"/>
    <col min="3" max="4" width="13" bestFit="1" customWidth="1"/>
    <col min="5" max="6" width="14.77734375" bestFit="1" customWidth="1"/>
    <col min="7" max="7" width="29.6640625" bestFit="1" customWidth="1"/>
    <col min="8" max="10" width="18.5546875" bestFit="1" customWidth="1"/>
    <col min="11" max="11" width="33.33203125" bestFit="1" customWidth="1"/>
  </cols>
  <sheetData>
    <row r="1" spans="1:11" ht="17.399999999999999">
      <c r="A1" s="1" t="s">
        <v>158</v>
      </c>
    </row>
    <row r="3" spans="1:11">
      <c r="A3" s="7" t="s">
        <v>159</v>
      </c>
      <c r="B3" s="7" t="s">
        <v>160</v>
      </c>
      <c r="C3" s="7" t="s">
        <v>161</v>
      </c>
      <c r="D3" s="7" t="s">
        <v>69</v>
      </c>
      <c r="E3" s="7" t="s">
        <v>162</v>
      </c>
      <c r="F3" s="7" t="s">
        <v>70</v>
      </c>
      <c r="G3" s="7" t="s">
        <v>46</v>
      </c>
      <c r="H3" s="7" t="s">
        <v>163</v>
      </c>
      <c r="I3" s="7" t="s">
        <v>67</v>
      </c>
      <c r="J3" s="7" t="s">
        <v>164</v>
      </c>
      <c r="K3" s="7" t="s">
        <v>165</v>
      </c>
    </row>
    <row r="4" spans="1:11">
      <c r="A4">
        <v>1</v>
      </c>
      <c r="B4" t="s">
        <v>166</v>
      </c>
      <c r="C4">
        <v>100</v>
      </c>
      <c r="D4">
        <v>100</v>
      </c>
      <c r="E4">
        <v>36</v>
      </c>
      <c r="F4">
        <v>4.5999999999999999E-2</v>
      </c>
      <c r="G4" t="s">
        <v>47</v>
      </c>
      <c r="H4" t="s">
        <v>167</v>
      </c>
      <c r="I4" t="s">
        <v>168</v>
      </c>
      <c r="J4" t="s">
        <v>169</v>
      </c>
      <c r="K4" t="s">
        <v>170</v>
      </c>
    </row>
    <row r="5" spans="1:11">
      <c r="A5">
        <v>2</v>
      </c>
      <c r="B5" t="s">
        <v>166</v>
      </c>
      <c r="C5">
        <v>100</v>
      </c>
      <c r="D5">
        <v>100</v>
      </c>
      <c r="E5">
        <v>3.6</v>
      </c>
      <c r="F5">
        <v>4.5999999999999999E-2</v>
      </c>
      <c r="G5" t="s">
        <v>47</v>
      </c>
      <c r="H5" t="s">
        <v>171</v>
      </c>
      <c r="I5" t="s">
        <v>168</v>
      </c>
      <c r="J5" t="s">
        <v>172</v>
      </c>
      <c r="K5" t="s">
        <v>173</v>
      </c>
    </row>
    <row r="6" spans="1:11">
      <c r="A6">
        <v>3</v>
      </c>
      <c r="B6" t="s">
        <v>166</v>
      </c>
      <c r="C6">
        <v>100</v>
      </c>
      <c r="D6">
        <v>100</v>
      </c>
      <c r="E6">
        <v>0.36</v>
      </c>
      <c r="F6">
        <v>4.5999999999999999E-2</v>
      </c>
      <c r="G6" t="s">
        <v>47</v>
      </c>
      <c r="H6" t="s">
        <v>174</v>
      </c>
      <c r="I6" t="s">
        <v>175</v>
      </c>
      <c r="J6" t="s">
        <v>176</v>
      </c>
      <c r="K6" t="s">
        <v>177</v>
      </c>
    </row>
    <row r="7" spans="1:11">
      <c r="A7">
        <v>4</v>
      </c>
      <c r="B7" t="s">
        <v>178</v>
      </c>
      <c r="C7">
        <v>100</v>
      </c>
      <c r="D7">
        <v>100</v>
      </c>
      <c r="E7">
        <v>36</v>
      </c>
      <c r="F7">
        <v>4.5999999999999999E-2</v>
      </c>
      <c r="G7" t="s">
        <v>47</v>
      </c>
      <c r="H7" t="s">
        <v>179</v>
      </c>
      <c r="I7" t="s">
        <v>180</v>
      </c>
      <c r="J7" t="s">
        <v>181</v>
      </c>
      <c r="K7" t="s">
        <v>182</v>
      </c>
    </row>
    <row r="8" spans="1:11">
      <c r="A8">
        <v>5</v>
      </c>
      <c r="B8" t="s">
        <v>183</v>
      </c>
      <c r="C8">
        <v>100</v>
      </c>
      <c r="D8">
        <v>100</v>
      </c>
      <c r="E8">
        <v>36</v>
      </c>
      <c r="F8">
        <v>4.5999999999999999E-2</v>
      </c>
      <c r="G8" t="s">
        <v>47</v>
      </c>
      <c r="H8" t="s">
        <v>167</v>
      </c>
      <c r="I8" t="s">
        <v>168</v>
      </c>
      <c r="J8" t="s">
        <v>184</v>
      </c>
      <c r="K8" t="s">
        <v>185</v>
      </c>
    </row>
    <row r="9" spans="1:11">
      <c r="A9">
        <v>6</v>
      </c>
      <c r="B9" t="s">
        <v>166</v>
      </c>
      <c r="C9">
        <v>100</v>
      </c>
      <c r="D9">
        <v>100</v>
      </c>
      <c r="E9">
        <v>36</v>
      </c>
      <c r="F9">
        <v>2E-3</v>
      </c>
      <c r="G9" t="s">
        <v>149</v>
      </c>
      <c r="H9" t="s">
        <v>167</v>
      </c>
      <c r="I9" t="s">
        <v>168</v>
      </c>
      <c r="J9" t="s">
        <v>186</v>
      </c>
      <c r="K9" t="s">
        <v>187</v>
      </c>
    </row>
    <row r="10" spans="1:11">
      <c r="A10">
        <v>7</v>
      </c>
      <c r="B10" t="s">
        <v>188</v>
      </c>
      <c r="C10">
        <v>100</v>
      </c>
      <c r="D10">
        <v>100</v>
      </c>
      <c r="E10">
        <v>36</v>
      </c>
      <c r="F10" t="s">
        <v>189</v>
      </c>
      <c r="G10" t="s">
        <v>149</v>
      </c>
      <c r="H10" t="s">
        <v>189</v>
      </c>
      <c r="I10" t="s">
        <v>189</v>
      </c>
      <c r="J10" t="s">
        <v>189</v>
      </c>
      <c r="K10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Fluid_Props</vt:lpstr>
      <vt:lpstr>Pipe_Inputs</vt:lpstr>
      <vt:lpstr>Darcy_Weisbach</vt:lpstr>
      <vt:lpstr>Hazen_Williams</vt:lpstr>
      <vt:lpstr>Slurry_Durand</vt:lpstr>
      <vt:lpstr>Minor_Losses</vt:lpstr>
      <vt:lpstr>Reference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2KG Training</cp:lastModifiedBy>
  <dcterms:created xsi:type="dcterms:W3CDTF">2026-09-18T19:03:44Z</dcterms:created>
  <dcterms:modified xsi:type="dcterms:W3CDTF">2026-09-18T20:11:10Z</dcterms:modified>
</cp:coreProperties>
</file>